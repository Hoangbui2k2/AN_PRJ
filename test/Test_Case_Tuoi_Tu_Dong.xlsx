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Giới thiệu" sheetId="2" state="visible" r:id="rId4"/>
    <sheet name="Quy ước giao thức" sheetId="3" state="visible" r:id="rId5"/>
    <sheet name="MQTT Topics" sheetId="4" state="visible" r:id="rId6"/>
    <sheet name="Test Cases" sheetId="5" state="visible" r:id="rId7"/>
    <sheet name="Phụ lục" sheetId="6" state="visible" r:id="rId8"/>
  </sheets>
  <definedNames>
    <definedName function="false" hidden="true" localSheetId="4" name="_xlnm._FilterDatabase" vbProcedure="false">'Test Cases'!$A$1:$N$46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<sst xmlns="http://schemas.openxmlformats.org/spreadsheetml/2006/main" count="672" uniqueCount="480">
  <si>
    <t xml:space="preserve">BÁO CÁO TEST CASE — HỆ THỐNG TƯỚI TỰ ĐỘNG (LoRa Node ↔ Gateway ↔ Server)</t>
  </si>
  <si>
    <t xml:space="preserve">Thống kê theo nhóm test case — cập nhật cột 'Kết quả' ở sheet 'Test Cases'</t>
  </si>
  <si>
    <t xml:space="preserve">Nhóm</t>
  </si>
  <si>
    <t xml:space="preserve">Mô tả nhóm</t>
  </si>
  <si>
    <t xml:space="preserve">Tổng số TC</t>
  </si>
  <si>
    <t xml:space="preserve">Pass</t>
  </si>
  <si>
    <t xml:space="preserve">Fail</t>
  </si>
  <si>
    <t xml:space="preserve">Blocked</t>
  </si>
  <si>
    <t xml:space="preserve">Not run</t>
  </si>
  <si>
    <t xml:space="preserve">% Pass</t>
  </si>
  <si>
    <t xml:space="preserve">A</t>
  </si>
  <si>
    <t xml:space="preserve">Bootstrap (khởi động hệ thống)</t>
  </si>
  <si>
    <t xml:space="preserve">B</t>
  </si>
  <si>
    <t xml:space="preserve">Node → Gateway (LoRa uplink)</t>
  </si>
  <si>
    <t xml:space="preserve">C</t>
  </si>
  <si>
    <t xml:space="preserve">Gateway → Server (MQTT)</t>
  </si>
  <si>
    <t xml:space="preserve">D</t>
  </si>
  <si>
    <t xml:space="preserve">Server → Node (lệnh, end-to-end)</t>
  </si>
  <si>
    <t xml:space="preserve">E</t>
  </si>
  <si>
    <t xml:space="preserve">Node behaviors (hành vi node)</t>
  </si>
  <si>
    <t xml:space="preserve">F</t>
  </si>
  <si>
    <t xml:space="preserve">System test (end-to-end)</t>
  </si>
  <si>
    <t xml:space="preserve">G</t>
  </si>
  <si>
    <t xml:space="preserve">Negative / Edge cases</t>
  </si>
  <si>
    <t xml:space="preserve">TỔNG CỘNG</t>
  </si>
  <si>
    <t xml:space="preserve">Ghi chú:</t>
  </si>
  <si>
    <t xml:space="preserve">- Cột 'Kết quả' ở sheet 'Test Cases' dùng dropdown: Pass / Fail / Blocked / Not run.</t>
  </si>
  <si>
    <t xml:space="preserve">- Bảng 'Tổng quan' tự động cập nhật theo dữ liệu đã điền (dùng công thức COUNTIFS).</t>
  </si>
  <si>
    <t xml:space="preserve">- Có thể lọc theo cột 'Nhóm', 'Loại', 'Tầng' bằng AutoFilter trên sheet 'Test Cases'.</t>
  </si>
  <si>
    <t xml:space="preserve">- CRC8 (XOR) mẫu và bảng verify tool tham khảo ở sheet 'Phụ lục'.</t>
  </si>
  <si>
    <t xml:space="preserve">Test Cases — Server ↔ Gateway ↔ Node (IT &amp; System Test)</t>
  </si>
  <si>
    <t xml:space="preserve">Hệ thống tưới tiêu thông minh: Node (firmware ESP32) ⟷ (LoRa UART) ⟷ Gateway (firmware ESP32) ⟷ (MQTT TLS) ⟷ Server.</t>
  </si>
  <si>
    <t xml:space="preserve">Tài liệu cung cấp bộ test case IT (integration) + System test với Input/Output chi tiết cho cả 2 tầng giao tiếp.</t>
  </si>
  <si>
    <t xml:space="preserve">Thành phần hệ thống</t>
  </si>
  <si>
    <t xml:space="preserve">Thành phần</t>
  </si>
  <si>
    <t xml:space="preserve">Firmware</t>
  </si>
  <si>
    <t xml:space="preserve">Cổng serial</t>
  </si>
  <si>
    <t xml:space="preserve">Giao tiếp</t>
  </si>
  <si>
    <t xml:space="preserve">Node</t>
  </si>
  <si>
    <t xml:space="preserve">node_irr</t>
  </si>
  <si>
    <t xml:space="preserve">UART dây LoRa</t>
  </si>
  <si>
    <t xml:space="preserve">LoRa UART 9600 baud</t>
  </si>
  <si>
    <t xml:space="preserve">Gateway</t>
  </si>
  <si>
    <t xml:space="preserve">gateway_irr</t>
  </si>
  <si>
    <t xml:space="preserve">COM10</t>
  </si>
  <si>
    <t xml:space="preserve">LoRa UART + MQTT (TLS 8883)</t>
  </si>
  <si>
    <t xml:space="preserve">Server (mô phỏng)</t>
  </si>
  <si>
    <t xml:space="preserve">test/mqtt_server_sim.py</t>
  </si>
  <si>
    <t xml:space="preserve">—</t>
  </si>
  <si>
    <t xml:space="preserve">MQTT broker HiveMQ Cloud</t>
  </si>
  <si>
    <t xml:space="preserve">0. Cách sử dụng tài liệu</t>
  </si>
  <si>
    <t xml:space="preserve">Mỗi test case có định dạng chuẩn:</t>
  </si>
  <si>
    <t xml:space="preserve">• Loại: IT (giữa 2 module) hoặc System (end-to-end cả 3 thành phần).</t>
  </si>
  <si>
    <t xml:space="preserve">• Tầng: Node↔GW, GW↔Server, hoặc End-to-end (Server→GW→Node→GW→Server).</t>
  </si>
  <si>
    <t xml:space="preserve">• Input: dữ liệu đưa vào chính xác — byte LoRa (hex) hoặc JSON MQTT.</t>
  </si>
  <si>
    <t xml:space="preserve">• Output mong đợi: byte/JSON/message + điều kiện PASS.</t>
  </si>
  <si>
    <t xml:space="preserve">• Verify: cách xác nhận (serial node / serial gateway / bảng nhận trên script mô phỏng server).</t>
  </si>
  <si>
    <t xml:space="preserve">Chuẩn bị môi trường (chạy 1 lần trước mọi nhóm)</t>
  </si>
  <si>
    <t xml:space="preserve">1. Flash firmware Node (node_irr), mở serial monitor.</t>
  </si>
  <si>
    <t xml:space="preserve">2. Flash firmware Gateway (gateway_irr), mở serial monitor (COM10).</t>
  </si>
  <si>
    <t xml:space="preserve">3. Bật MQTT broker (HiveMQ Cloud theo config.c, TLS 8883).</t>
  </si>
  <si>
    <t xml:space="preserve">4. Chạy script mô phỏng server:</t>
  </si>
  <si>
    <t xml:space="preserve">   cd test</t>
  </si>
  <si>
    <t xml:space="preserve">   python mqtt_server_sim.py --broker mqtts://d246c46a2ebe40d2ae0c787f92bfdbab.s1.eu.hivemq.cloud --port 8883 --user &lt;user&gt; --pass &lt;pass&gt; --site HCM --gw gw_01 --nodes 1,2</t>
  </si>
  <si>
    <t xml:space="preserve">5. Xác nhận cả 2 node ONLINE + gateway ONLINE trên bảng script.</t>
  </si>
  <si>
    <t xml:space="preserve">Ghi chú: Log gateway tag GATEWAY, node tag MAIN/COMMANDS. Khi input không ghi cụ thể, giá trị sensor lấy theo thực tế.</t>
  </si>
  <si>
    <t xml:space="preserve">Quy ước byte gói tin &amp; mã lệnh</t>
  </si>
  <si>
    <t xml:space="preserve">Uplink LoRa 8B (Node → Gateway)</t>
  </si>
  <si>
    <t xml:space="preserve">| node_id | type | flags | soil | temp(+40) | hum | battery | crc |</t>
  </si>
  <si>
    <t xml:space="preserve">• temp lệch +40: temp_byte = temperature + 40. VD 28°C → 0x44 (68).</t>
  </si>
  <si>
    <t xml:space="preserve">• crc = XOR của 7 byte trước (không bỏ 0x00).</t>
  </si>
  <si>
    <t xml:space="preserve">Downlink LoRa 6B (GW → Node)</t>
  </si>
  <si>
    <t xml:space="preserve">| node_id | 0x05 | cmd | param1 | param2 | crc |</t>
  </si>
  <si>
    <t xml:space="preserve">• crc = XOR của 5 byte trước.</t>
  </si>
  <si>
    <t xml:space="preserve">LoRa packet types (uplink)</t>
  </si>
  <si>
    <t xml:space="preserve">Mã (hex)</t>
  </si>
  <si>
    <t xml:space="preserve">Ý nghĩa</t>
  </si>
  <si>
    <t xml:space="preserve">0x01</t>
  </si>
  <si>
    <t xml:space="preserve">data</t>
  </si>
  <si>
    <t xml:space="preserve">0x02</t>
  </si>
  <si>
    <t xml:space="preserve">heartbeat</t>
  </si>
  <si>
    <t xml:space="preserve">0x03</t>
  </si>
  <si>
    <t xml:space="preserve">ACK</t>
  </si>
  <si>
    <t xml:space="preserve">0x04</t>
  </si>
  <si>
    <t xml:space="preserve">alarm</t>
  </si>
  <si>
    <t xml:space="preserve">0x06</t>
  </si>
  <si>
    <t xml:space="preserve">compact</t>
  </si>
  <si>
    <t xml:space="preserve">Flags (uplink)</t>
  </si>
  <si>
    <t xml:space="preserve">Bit (hex)</t>
  </si>
  <si>
    <t xml:space="preserve">pump on</t>
  </si>
  <si>
    <t xml:space="preserve">threshold_exceeded</t>
  </si>
  <si>
    <t xml:space="preserve">GW_lost</t>
  </si>
  <si>
    <t xml:space="preserve">0x08</t>
  </si>
  <si>
    <t xml:space="preserve">sensor_ok</t>
  </si>
  <si>
    <t xml:space="preserve">Compact presence (bitmask)</t>
  </si>
  <si>
    <t xml:space="preserve">Field</t>
  </si>
  <si>
    <t xml:space="preserve">temp</t>
  </si>
  <si>
    <t xml:space="preserve">hum</t>
  </si>
  <si>
    <t xml:space="preserve">soil</t>
  </si>
  <si>
    <t xml:space="preserve">battery</t>
  </si>
  <si>
    <t xml:space="preserve">0x10</t>
  </si>
  <si>
    <t xml:space="preserve">flags</t>
  </si>
  <si>
    <t xml:space="preserve">Command codes (downlink)</t>
  </si>
  <si>
    <t xml:space="preserve">Lệnh</t>
  </si>
  <si>
    <t xml:space="preserve">set_interval</t>
  </si>
  <si>
    <t xml:space="preserve">on</t>
  </si>
  <si>
    <t xml:space="preserve">off</t>
  </si>
  <si>
    <t xml:space="preserve">set_threshold</t>
  </si>
  <si>
    <t xml:space="preserve">0x05</t>
  </si>
  <si>
    <t xml:space="preserve">set_schedule</t>
  </si>
  <si>
    <t xml:space="preserve">report</t>
  </si>
  <si>
    <t xml:space="preserve">0x07</t>
  </si>
  <si>
    <t xml:space="preserve">toggle</t>
  </si>
  <si>
    <t xml:space="preserve">set_mode</t>
  </si>
  <si>
    <t xml:space="preserve">0x09</t>
  </si>
  <si>
    <t xml:space="preserve">ACK rỗng/keep-alive</t>
  </si>
  <si>
    <t xml:space="preserve">0x0A</t>
  </si>
  <si>
    <t xml:space="preserve">set_delta</t>
  </si>
  <si>
    <t xml:space="preserve">Alarm codes</t>
  </si>
  <si>
    <t xml:space="preserve">sensor error</t>
  </si>
  <si>
    <t xml:space="preserve">soil out range</t>
  </si>
  <si>
    <t xml:space="preserve">relay error</t>
  </si>
  <si>
    <t xml:space="preserve">low battery</t>
  </si>
  <si>
    <t xml:space="preserve">gateway lost</t>
  </si>
  <si>
    <t xml:space="preserve">Alert message map (MAPPING_GIAO_THUC_MQTT.md)</t>
  </si>
  <si>
    <t xml:space="preserve">Code</t>
  </si>
  <si>
    <t xml:space="preserve">Message</t>
  </si>
  <si>
    <t xml:space="preserve">Sensor error — 3 consecutive sensor read failures</t>
  </si>
  <si>
    <t xml:space="preserve">Soil out of range — soil moisture &lt; 10% or &gt; 90%</t>
  </si>
  <si>
    <t xml:space="preserve">Relay error — pump relay fault (pulse or GPIO)</t>
  </si>
  <si>
    <t xml:space="preserve">Low battery — battery &lt; 20%</t>
  </si>
  <si>
    <t xml:space="preserve">Gateway lost — node lost connection (&gt;=3 ACK timeouts)</t>
  </si>
  <si>
    <t xml:space="preserve">MQTT topics (site/gw mặc định HCM / gw_01)</t>
  </si>
  <si>
    <t xml:space="preserve">Hướng</t>
  </si>
  <si>
    <t xml:space="preserve">Topic</t>
  </si>
  <si>
    <t xml:space="preserve">Payload</t>
  </si>
  <si>
    <t xml:space="preserve">Node→Server</t>
  </si>
  <si>
    <t xml:space="preserve">irrigation/HCM/gw_01/node_01/data</t>
  </si>
  <si>
    <t xml:space="preserve">JSON sensor</t>
  </si>
  <si>
    <t xml:space="preserve">irrigation/HCM/gw_01/node_01/status</t>
  </si>
  <si>
    <t xml:space="preserve">{"node":1,"status":"online/offline",...}</t>
  </si>
  <si>
    <t xml:space="preserve">irrigation/HCM/gw_01/node_01/alarm</t>
  </si>
  <si>
    <t xml:space="preserve">JSON alarm</t>
  </si>
  <si>
    <t xml:space="preserve">GW→Server</t>
  </si>
  <si>
    <t xml:space="preserve">irrigation/HCM/gw_01/status</t>
  </si>
  <si>
    <t xml:space="preserve">JSON heartbeat</t>
  </si>
  <si>
    <t xml:space="preserve">Server→Node</t>
  </si>
  <si>
    <t xml:space="preserve">irrigation/HCM/gw_01/node_01/cmd</t>
  </si>
  <si>
    <t xml:space="preserve">JSON lệnh</t>
  </si>
  <si>
    <t xml:space="preserve">Server→GW</t>
  </si>
  <si>
    <t xml:space="preserve">irrigation/HCM/gw_01/config</t>
  </si>
  <si>
    <t xml:space="preserve">(chưa dùng — ngoài phạm vi)</t>
  </si>
  <si>
    <t xml:space="preserve">Mã TC</t>
  </si>
  <si>
    <t xml:space="preserve">Tên Test Case</t>
  </si>
  <si>
    <t xml:space="preserve">Loại</t>
  </si>
  <si>
    <t xml:space="preserve">Tầng</t>
  </si>
  <si>
    <t xml:space="preserve">Tiền điều kiện</t>
  </si>
  <si>
    <t xml:space="preserve">Input</t>
  </si>
  <si>
    <t xml:space="preserve">Output mong đợi</t>
  </si>
  <si>
    <t xml:space="preserve">Điều kiện PASS</t>
  </si>
  <si>
    <t xml:space="preserve">Cách Verify</t>
  </si>
  <si>
    <t xml:space="preserve">Kết quả</t>
  </si>
  <si>
    <t xml:space="preserve">Người test</t>
  </si>
  <si>
    <t xml:space="preserve">Ngày test</t>
  </si>
  <si>
    <t xml:space="preserve">Ghi chú</t>
  </si>
  <si>
    <t xml:space="preserve">TC-A01</t>
  </si>
  <si>
    <t xml:space="preserve">Node cold boot — baseline data đầu tiên</t>
  </si>
  <si>
    <t xml:space="preserve">IT</t>
  </si>
  <si>
    <t xml:space="preserve">Node↔GW</t>
  </si>
  <si>
    <t xml:space="preserve">Node lần đầu cấp nguồn (RTC magic invalid); gateway + MQTT online.</t>
  </si>
  <si>
    <t xml:space="preserve">Cấp nguồn Node (không, cold boot / wake=UNDEFINED).</t>
  </si>
  <si>
    <t xml:space="preserve">Node: LED blink 3 lần; log 'Cold boot (first power-on)'. Vì lastSentTemp==INT8_MIN → node gửi baseline 0x01 đầy đủ (VD: 01 01 08 2E 44 41 55 &lt;crc&gt; — soil 46, temp 28, hum 65, bat 85, flags=0x08 sensor_ok). Gateway publish .../node_01/data JSON + trả downlink ACK rỗng 01 05 09 00 00 &lt;crc&gt;. Node log 'gatewayLostCount reset to 0 (valid downlink)'.</t>
  </si>
  <si>
    <t xml:space="preserve">(1) baseline 0x01 gửi lần đầu, (2) data JSON khớp node/soil/temp/hum/battery, (3) ACK rỗng về node trong window 350ms.</t>
  </si>
  <si>
    <t xml:space="preserve">Serial node + script nhận data.</t>
  </si>
  <si>
    <t xml:space="preserve">TC-A02</t>
  </si>
  <si>
    <t xml:space="preserve">Gateway boot — publish online ngay khi connect MQTT</t>
  </si>
  <si>
    <t xml:space="preserve">GW↔Server</t>
  </si>
  <si>
    <t xml:space="preserve">-</t>
  </si>
  <si>
    <t xml:space="preserve">Bật gateway.</t>
  </si>
  <si>
    <t xml:space="preserve">Ngay sau MQTT_EVENT_CONNECTED, gateway publish {"status":"online","version":"1.0.0"} và subscribe irrigation/HCM/gw_01/+/cmd.</t>
  </si>
  <si>
    <t xml:space="preserve">Script nhận online ngay sau khi gateway connect.</t>
  </si>
  <si>
    <t xml:space="preserve">Script listen MQTT.</t>
  </si>
  <si>
    <t xml:space="preserve">TC-A03</t>
  </si>
  <si>
    <t xml:space="preserve">Gateway heartbeat 60s định kỳ</t>
  </si>
  <si>
    <t xml:space="preserve">Gateway đã online.</t>
  </si>
  <si>
    <t xml:space="preserve">Chờ ≥130s, quan sát .../gw_01/status.</t>
  </si>
  <si>
    <t xml:space="preserve">Mỗi 60s publish {"status":"online","nodes_registered":2,"commands_cached":0,"uptime_seconds":&lt;tăng&gt;,"version":"1.0.0","site":"HCM","gateway_id":"gw_01"}.</t>
  </si>
  <si>
    <t xml:space="preserve">2 heartbeat cách ~60s, uptime_seconds tăng, nodes_registered=2, commands_cached=0.</t>
  </si>
  <si>
    <t xml:space="preserve">Script nhận 2 message trong 130s.</t>
  </si>
  <si>
    <t xml:space="preserve">TC-A04</t>
  </si>
  <si>
    <t xml:space="preserve">LWT offline khi mất kết nối MQTT</t>
  </si>
  <si>
    <t xml:space="preserve">System</t>
  </si>
  <si>
    <t xml:space="preserve">Gateway đang online.</t>
  </si>
  <si>
    <t xml:space="preserve">Tắt broker (hoặc ngắt mạng gateway).</t>
  </si>
  <si>
    <t xml:space="preserve">Broker publish Last Will {"status":"offline"} lên .../gw_01/status.</t>
  </si>
  <si>
    <t xml:space="preserve">Script nhận offline trong &lt; ~1 phút.</t>
  </si>
  <si>
    <t xml:space="preserve">Script listen MQTT. Note: LWT do broker xử lý; phụ thuộc broker có ghi nhận.</t>
  </si>
  <si>
    <t xml:space="preserve">TC-B01</t>
  </si>
  <si>
    <t xml:space="preserve">Data packet đầy đủ 0x01 → publish data JSON</t>
  </si>
  <si>
    <t xml:space="preserve">Uplink 8B: 01 01 00 32 44 41 55 C9 (node=1, type=0x01, flags=0, soil=0x32(50), temp=0x44(68→28°C), hum=0x41(65), batt=0x55(85); crc=XOR=0xC9)</t>
  </si>
  <si>
    <t xml:space="preserve">.../node_01/data: {"node":1,"soil":50,"temp":28,"hum":65,"pump":0,"battery":85,"threshold_exceeded":false,"timestamp":"..."}. Gateway trả ACK rỗng downlink.</t>
  </si>
  <si>
    <t xml:space="preserve">Data JSON khớp + ACK rỗng gửi về.</t>
  </si>
  <si>
    <t xml:space="preserve">Script nhận data.</t>
  </si>
  <si>
    <t xml:space="preserve">TC-B02</t>
  </si>
  <si>
    <t xml:space="preserve">Compact 0x06 — merge giữ giá trị cũ khi field vắng</t>
  </si>
  <si>
    <t xml:space="preserve">Node có baseline (soil=50,temp=28,hum=65,bat=85).</t>
  </si>
  <si>
    <t xml:space="preserve">Compact chỉ thay đổi soil + flags, presence=0x10|0x04=0x14: 01 06 14 28 08 &lt;crc&gt; (soil=0x28(40), flags=0x08)</t>
  </si>
  <si>
    <t xml:space="preserve">Data JSON soil=40 (đổi), nhưng temp/hum/battery giữ giá trị cũ (28,65,85). Node đánh dấu ONLINE.</t>
  </si>
  <si>
    <t xml:space="preserve">Field vắng không bị reset.</t>
  </si>
  <si>
    <t xml:space="preserve">Script nhận soil=40,temp=28,hum=65,bat=85.</t>
  </si>
  <si>
    <t xml:space="preserve">TC-B03</t>
  </si>
  <si>
    <t xml:space="preserve">Heartbeat 0x02 — online + last_seen, KHÔNG publish data</t>
  </si>
  <si>
    <t xml:space="preserve">01 02 00 00 00 00 55 B8 (battery=0x55).</t>
  </si>
  <si>
    <t xml:space="preserve">Gateway node_mark_online + update last_seen; không publish data. Nếu node vừa offline → publish status online. Trả ACK rỗng để reset gatewayLostCount.</t>
  </si>
  <si>
    <t xml:space="preserve">Không có data mới; status chỉ publish khi node trước đó offline.</t>
  </si>
  <si>
    <t xml:space="preserve">GW log + script không nhận data mới.</t>
  </si>
  <si>
    <t xml:space="preserve">TC-B04</t>
  </si>
  <si>
    <t xml:space="preserve">Alarm 0x04 — cross-verify flags vs soil rồi publish alarm</t>
  </si>
  <si>
    <t xml:space="preserve">Code sensor error (code=1) trong cả flags &amp; soil: 01 04 01 01 00 00 FF FA (battery=0xFF; crc=XOR=0xFA)</t>
  </si>
  <si>
    <t xml:space="preserve">.../node_01/alarm: {"node":1,"alarm_code":1,"type":"alarm","message":"Sensor error — 3 consecutive sensor read failures","flags":1}. node_mark_online, last_seen update, không ghi đè soil/temp/hum/battery. ACK rỗng gửi về node (node không ACK lại alarm).</t>
  </si>
  <si>
    <t xml:space="preserve">Alarm JSON đúng + data không bị ghi đè.</t>
  </si>
  <si>
    <t xml:space="preserve">Script nhận alarm + kiểm tra data cũ không đổi.</t>
  </si>
  <si>
    <t xml:space="preserve">TC-B05</t>
  </si>
  <si>
    <t xml:space="preserve">Alarm mismatch flags vs soil — vẫn dùng flags</t>
  </si>
  <si>
    <t xml:space="preserve">01 04 03 05 00 00 FF &lt;crc&gt; (flags=0x03 relay error, soil=0x05 mismatch).</t>
  </si>
  <si>
    <t xml:space="preserve">GW log 'Alarm code mismatch: flags=0x03 soil=0x05, using flags'; publish alarm_code=3.</t>
  </si>
  <si>
    <t xml:space="preserve">alarm_code=3 trong MQTT.</t>
  </si>
  <si>
    <t xml:space="preserve">Script nhận alarm.</t>
  </si>
  <si>
    <t xml:space="preserve">TC-C01</t>
  </si>
  <si>
    <t xml:space="preserve">Schema data JSON chuẩn + threshold_exceeded=false</t>
  </si>
  <si>
    <t xml:space="preserve">Uplink 0x01 với soil=50 (trong band 30–70).</t>
  </si>
  <si>
    <t xml:space="preserve">Data JSON đủ node,soil,temp,hum,pump,battery,timestamp,threshold_exceeded; threshold_exceeded=false, không có threshold_low/high.</t>
  </si>
  <si>
    <t xml:space="preserve">Schema đúng và threshold_exceeded=false.</t>
  </si>
  <si>
    <t xml:space="preserve">Script --verify (data schema).</t>
  </si>
  <si>
    <t xml:space="preserve">TC-C02</t>
  </si>
  <si>
    <t xml:space="preserve">Vượt threshold — data có flag + alarm</t>
  </si>
  <si>
    <t xml:space="preserve">Soil=15 (ngoài low=30).</t>
  </si>
  <si>
    <t xml:space="preserve">Data: threshold_exceeded=true, kèm threshold_low=30,threshold_high=70. .../node_01/alarm: {"node":1,"type":"alarm","message":"Sensor alarm triggered","soil":15,"threshold_low":30,"threshold_high":70}</t>
  </si>
  <si>
    <t xml:space="preserve">Data + alarm đúng nội dung.</t>
  </si>
  <si>
    <t xml:space="preserve">Script suite C.</t>
  </si>
  <si>
    <t xml:space="preserve">TC-C03</t>
  </si>
  <si>
    <t xml:space="preserve">Node offline sau timeout 180s + status</t>
  </si>
  <si>
    <t xml:space="preserve">Node từng online rồi dừng gửi.</t>
  </si>
  <si>
    <t xml:space="preserve">Chờ &gt;180s không có uplink từ node.</t>
  </si>
  <si>
    <t xml:space="preserve">Sau 180s timeout (check 1s) gateway publish {"node":1,"status":"offline","timestamp":&lt;epoch&gt;}.</t>
  </si>
  <si>
    <t xml:space="preserve">Xuất hiện 1 message offline trong (180s,190s).</t>
  </si>
  <si>
    <t xml:space="preserve">Script listen MQTT theo thời gian.</t>
  </si>
  <si>
    <t xml:space="preserve">TC-C04</t>
  </si>
  <si>
    <t xml:space="preserve">Gateway status — nodes_registered &amp; commands_cached</t>
  </si>
  <si>
    <t xml:space="preserve">2 node đăng ký, 2 lệnh đang cache (node offline giả).</t>
  </si>
  <si>
    <t xml:space="preserve">Đọc .../gw_01/status.</t>
  </si>
  <si>
    <t xml:space="preserve">nodes_registered: 2, commands_cached: 2.</t>
  </si>
  <si>
    <t xml:space="preserve">Khớp command_cache_print trên gw.</t>
  </si>
  <si>
    <t xml:space="preserve">So sánh log gw với payload MQTT.</t>
  </si>
  <si>
    <t xml:space="preserve">TC-C05</t>
  </si>
  <si>
    <t xml:space="preserve">ALARM Mapper — code → message</t>
  </si>
  <si>
    <t xml:space="preserve">Từng code 1..5 (flags=soil=code).</t>
  </si>
  <si>
    <t xml:space="preserve">message đúng bảng alarm trong mục Alarm codes.</t>
  </si>
  <si>
    <t xml:space="preserve">Alarm JSON message đúng từng code.</t>
  </si>
  <si>
    <t xml:space="preserve">Script kiểm tra từng code 1-5.</t>
  </si>
  <si>
    <t xml:space="preserve">TC-D01</t>
  </si>
  <si>
    <t xml:space="preserve">set_threshold (20–80) end-to-end</t>
  </si>
  <si>
    <t xml:space="preserve">Server↔Node (E2E)</t>
  </si>
  <si>
    <t xml:space="preserve">Node 0x01 online, ngưỡng mặc định 30–70.</t>
  </si>
  <si>
    <t xml:space="preserve">B1 (Server→GW): {"cmd":"set_threshold","low":20,"high":80}. B2 (GW→node) downlink LoRa: 01 05 04 14 50 44 (param1=0x14=20, param2=0x50=80, CRC=0x44). B3: config_set_thresholds(20,80) + NVS + ACK 0x03.</t>
  </si>
  <si>
    <t xml:space="preserve">Node log 'Cmd: Set thresholds Low=20% High=80%'; gw log 'ACK received'; gw cập nhật local ngay (node_set_threshold) trước khi ACK.</t>
  </si>
  <si>
    <t xml:space="preserve">(1) downlink đúng byte, (2) node ACK trong 350ms, (3) lệnh xoá khỏi cache, (4) local 20–80.</t>
  </si>
  <si>
    <t xml:space="preserve">Serial node + gw; suite tự động.</t>
  </si>
  <si>
    <t xml:space="preserve">TC-D02</t>
  </si>
  <si>
    <t xml:space="preserve">set_interval (300s)</t>
  </si>
  <si>
    <t xml:space="preserve">{"cmd":"set_interval","value":300} → downlink 01 05 01 2C 01 &lt;crc&gt; (param1=0x2C, param2=0x01 → uint16=300).</t>
  </si>
  <si>
    <t xml:space="preserve">Node: 'Cmd: Set sleep interval = 300 s' (clamp ≥5), save.</t>
  </si>
  <si>
    <t xml:space="preserve">Chu kỳ deep sleep của node đổi (log cycle interval).</t>
  </si>
  <si>
    <t xml:space="preserve">Serial node log.</t>
  </si>
  <si>
    <t xml:space="preserve">TC-D03</t>
  </si>
  <si>
    <t xml:space="preserve">on với duration (60)</t>
  </si>
  <si>
    <t xml:space="preserve">{"cmd":"on","duration":60} → downlink 01 05 02 3C 00 &lt;crc&gt; (CMD_ON, param1=60, param2=0).</t>
  </si>
  <si>
    <t xml:space="preserve">Node: pump_on + pumpBySchedule=true; scheduleDuration=60; interval=60.</t>
  </si>
  <si>
    <t xml:space="preserve">Data kế 'pump':1 + node wake lại sau 60s tắt.</t>
  </si>
  <si>
    <t xml:space="preserve">Script nhận data + serial node.</t>
  </si>
  <si>
    <t xml:space="preserve">TC-D04</t>
  </si>
  <si>
    <t xml:space="preserve">{"cmd":"off"} → downlink 01 05 03 00 00 &lt;crc&gt;.</t>
  </si>
  <si>
    <t xml:space="preserve">Node: pump_off, pumpBySchedule=false.</t>
  </si>
  <si>
    <t xml:space="preserve">Next data 'pump':0.</t>
  </si>
  <si>
    <t xml:space="preserve">TC-D05</t>
  </si>
  <si>
    <t xml:space="preserve">report — ép gửi data ngay</t>
  </si>
  <si>
    <t xml:space="preserve">{"cmd":"report"}.</t>
  </si>
  <si>
    <t xml:space="preserve">Node: CMD_REQUEST_REPORT, không dedup, gửi data 0x01 ngay.</t>
  </si>
  <si>
    <t xml:space="preserve">Script nhận data mới trong vài giây (không cần delta).</t>
  </si>
  <si>
    <t xml:space="preserve">TC-D06</t>
  </si>
  <si>
    <t xml:space="preserve">toggle + idempotent dedup (trùng → ACK không tái thực)</t>
  </si>
  <si>
    <t xml:space="preserve">{"cmd":"toggle"} gửi 2 lần giống hệt.</t>
  </si>
  <si>
    <t xml:space="preserve">Node: lần1 toggle + ACK + store dedup; lần2 duplicate → ACK nhưng không toggle lại.</t>
  </si>
  <si>
    <t xml:space="preserve">Pump đổi 1 lần; node log 'Duplicate command ... ACKing without re-execution'.</t>
  </si>
  <si>
    <t xml:space="preserve">Serial node + script kiểm tra pump state.</t>
  </si>
  <si>
    <t xml:space="preserve">TC-D07</t>
  </si>
  <si>
    <t xml:space="preserve">{"cmd":"set_mode","mode":1} → downlink 01 05 08 01 00 &lt;crc&gt;.</t>
  </si>
  <si>
    <t xml:space="preserve">Node: MODE_SCHEDULE.</t>
  </si>
  <si>
    <t xml:space="preserve">Node log 'Set mode = 1' (mode ≤2).</t>
  </si>
  <si>
    <t xml:space="preserve">TC-D08</t>
  </si>
  <si>
    <t xml:space="preserve">set_delta (type,value) + local cache</t>
  </si>
  <si>
    <t xml:space="preserve">{"cmd":"set_delta","type":2,"value":5} (soil delta=5) → downlink 6B: 01 05 0A 02 05 &lt;crc&gt; (CMD_SET_DELTA, type param1=2, value param2=5).</t>
  </si>
  <si>
    <t xml:space="preserve">Gateway local: node_set_delta_threshold(node,2,5) cập nhật. Node: config_set_delta_soil(5) + NVS.</t>
  </si>
  <si>
    <t xml:space="preserve">Log cả 2 (gateway local + node NVS).</t>
  </si>
  <si>
    <t xml:space="preserve">Serial node + gw log.</t>
  </si>
  <si>
    <t xml:space="preserve">TC-D09</t>
  </si>
  <si>
    <t xml:space="preserve">Lệnh khi node OFFLINE → cache → flush khi online</t>
  </si>
  <si>
    <t xml:space="preserve">Node 0x02 offline.</t>
  </si>
  <si>
    <t xml:space="preserve">Publish {"cmd":"off"} cho node 0x02.</t>
  </si>
  <si>
    <t xml:space="preserve">Gateway cache (20 FIFO). Khi node online → ack_or_flush_node → flush lệnh. commands_cached tăng (cache), giảm sau flush; node thực thi (pump off).</t>
  </si>
  <si>
    <t xml:space="preserve">Lệnh cache + flush khi online.</t>
  </si>
  <si>
    <t xml:space="preserve">Script theo dõi commands_cached + trạng thái pump.</t>
  </si>
  <si>
    <t xml:space="preserve">TC-D10</t>
  </si>
  <si>
    <t xml:space="preserve">retry backoff 1/2/4/8/16 s, max 5; ACK timeout 3 s</t>
  </si>
  <si>
    <t xml:space="preserve">Node khó nhận, lệnh chờ ACK ~3s.</t>
  </si>
  <si>
    <t xml:space="preserve">Gửi lệnh khi node không phản hồi ACK.</t>
  </si>
  <si>
    <t xml:space="preserve">Retry tăng 1s→16s, max 5; sau 5 → drop.</t>
  </si>
  <si>
    <t xml:space="preserve">GW log retry đúng chuỗi; sau 5 drop (không cache mãi).</t>
  </si>
  <si>
    <t xml:space="preserve">Gateway log.</t>
  </si>
  <si>
    <t xml:space="preserve">TC-E01</t>
  </si>
  <si>
    <t xml:space="preserve">Threshold mode (2) — pump ON khi soil &lt; low</t>
  </si>
  <si>
    <t xml:space="preserve">Node behavior</t>
  </si>
  <si>
    <t xml:space="preserve">Mode 2, soil 25&lt;low30.</t>
  </si>
  <si>
    <t xml:space="preserve">Soil đọc được = 25 (low=30).</t>
  </si>
  <si>
    <t xml:space="preserve">MODE_THRESHOLD → pump_on. Log 'Moisture below threshold low. Turning pump ON.'</t>
  </si>
  <si>
    <t xml:space="preserve">Data next pump:1.</t>
  </si>
  <si>
    <t xml:space="preserve">TC-E02</t>
  </si>
  <si>
    <t xml:space="preserve">Threshold mode → pump OFF khi soil &gt; high</t>
  </si>
  <si>
    <t xml:space="preserve">Đang tưới (irrigation_active).</t>
  </si>
  <si>
    <t xml:space="preserve">Soil 75 &gt; high70.</t>
  </si>
  <si>
    <t xml:space="preserve">pump_off().</t>
  </si>
  <si>
    <t xml:space="preserve">Data next pump:0.</t>
  </si>
  <si>
    <t xml:space="preserve">TC-E03</t>
  </si>
  <si>
    <t xml:space="preserve">Schedule mode (1) + schedule duration restore</t>
  </si>
  <si>
    <t xml:space="preserve">Mode=1, schedule 06:00, duration 60, interval bình thường 300s.</t>
  </si>
  <si>
    <t xml:space="preserve">Đến giờ 06:00.</t>
  </si>
  <si>
    <t xml:space="preserve">pump_on, pump_by_schedule=true, interval=60, lastWateringDay cập nhật. Hết 60s → pump_off, interval restore 300s. Chỉ 1 lần/ngày.</t>
  </si>
  <si>
    <t xml:space="preserve">Interval tạm 60 → restore; pump vào giờ schedule.</t>
  </si>
  <si>
    <t xml:space="preserve">Serial node log theo thời gian.</t>
  </si>
  <si>
    <t xml:space="preserve">TC-E04</t>
  </si>
  <si>
    <t xml:space="preserve">Delta reporting compact</t>
  </si>
  <si>
    <t xml:space="preserve">Soil 50→55 (delta soil 5).</t>
  </si>
  <si>
    <t xml:space="preserve">Gửi compact soil.</t>
  </si>
  <si>
    <t xml:space="preserve">1 data thay đổi khi delta vượt.</t>
  </si>
  <si>
    <t xml:space="preserve">Script nhận data compact.</t>
  </si>
  <si>
    <t xml:space="preserve">TC-E05</t>
  </si>
  <si>
    <t xml:space="preserve">Gateway lost → alarm 0x05 + fallback Schedule + hồi phục</t>
  </si>
  <si>
    <t xml:space="preserve">Gateway không ACK (heartbeat không downlink).</t>
  </si>
  <si>
    <t xml:space="preserve">Sau ≥3 heartbeat không downlink.</t>
  </si>
  <si>
    <t xml:space="preserve">gatewayLostCount&gt;=3 → alarm 0x05 + GW flag + irrigation_gateway_lost() → mode=Schedule. .../node_01/alarm alarm_code=5; FLAG_GATEWAY_LOST (bit2) trong uplink; mode chuyển Schedule. Hồi phục: gw gửi ACK rỗng trở lại → gatewayLostCount=0, gatewayLost=false; node trở về mode cấu hình.</t>
  </si>
  <si>
    <t xml:space="preserve">Alarm 0x05 nhận + node chuyển mode + phục hồi.</t>
  </si>
  <si>
    <t xml:space="preserve">Serial node + script nhận alarm.</t>
  </si>
  <si>
    <t xml:space="preserve">TC-E06</t>
  </si>
  <si>
    <t xml:space="preserve">Alarm sensor error (3 lần đọc fail)</t>
  </si>
  <si>
    <t xml:space="preserve">3 lần DHT/soil lỗi liên tiếp.</t>
  </si>
  <si>
    <t xml:space="preserve">ALARM_SENSOR_ERROR → node gửi alarm packet 0x01; data không có sensor_ok (bit3).</t>
  </si>
  <si>
    <t xml:space="preserve">Alarm JSON code=1.</t>
  </si>
  <si>
    <t xml:space="preserve">TC-F01</t>
  </si>
  <si>
    <t xml:space="preserve">Round-trip toggle (Server→Node→Server)</t>
  </si>
  <si>
    <t xml:space="preserve">E2E</t>
  </si>
  <si>
    <t xml:space="preserve">Publish {"cmd":"toggle"}.</t>
  </si>
  <si>
    <t xml:space="preserve">Server thấy data mới có pump đổi.</t>
  </si>
  <si>
    <t xml:space="preserve">Full chain trong &lt;5s.</t>
  </si>
  <si>
    <t xml:space="preserve">Script đo thời gian round-trip.</t>
  </si>
  <si>
    <t xml:space="preserve">TC-F02</t>
  </si>
  <si>
    <t xml:space="preserve">Threshold E2E: set_threshold → node exceed → data+alarm</t>
  </si>
  <si>
    <t xml:space="preserve">set_threshold(70,90); sau node vượt (soil=95 giả).</t>
  </si>
  <si>
    <t xml:space="preserve">Node threshold → data JSON threshold_exceeded:true + alarm 'Sensor alarm triggered' với 70/90.</t>
  </si>
  <si>
    <t xml:space="preserve">2 message (data+alarm) report.</t>
  </si>
  <si>
    <t xml:space="preserve">Script nhận cả 2 message.</t>
  </si>
  <si>
    <t xml:space="preserve">TC-F03</t>
  </si>
  <si>
    <t xml:space="preserve">Alarm propagation (node→server)</t>
  </si>
  <si>
    <t xml:space="preserve">Kích hoạt soil out-range (soil&lt;10).</t>
  </si>
  <si>
    <t xml:space="preserve">Node alarm 0x02 → gw → server alarm JSON.</t>
  </si>
  <si>
    <t xml:space="preserve">Message đúng.</t>
  </si>
  <si>
    <t xml:space="preserve">TC-F04</t>
  </si>
  <si>
    <t xml:space="preserve">Node mất điện khi có lệnh cache — flush sau online</t>
  </si>
  <si>
    <t xml:space="preserve">Node offline, cache 2 lệnh (off + toggle).</t>
  </si>
  <si>
    <t xml:space="preserve">Bật node lại.</t>
  </si>
  <si>
    <t xml:space="preserve">Gateway flush, node ACK từng cái.</t>
  </si>
  <si>
    <t xml:space="preserve">2 lệnh nhận + ACK; nếu toggle giống → dedup.</t>
  </si>
  <si>
    <t xml:space="preserve">Serial node + gw log + script.</t>
  </si>
  <si>
    <t xml:space="preserve">TC-F05</t>
  </si>
  <si>
    <t xml:space="preserve">Gateway restart → cache RAM mất</t>
  </si>
  <si>
    <t xml:space="preserve">Gateway có lệnh đang cache.</t>
  </si>
  <si>
    <t xml:space="preserve">Reboot gateway.</t>
  </si>
  <si>
    <t xml:space="preserve">Cache là RAM-only (không NVS) → sau reboot commands_cached về 0, cache MẤT. Server phải gửi lại.</t>
  </si>
  <si>
    <t xml:space="preserve">Sau reboot commands_cached=0; thử lại lệnh.</t>
  </si>
  <si>
    <t xml:space="preserve">Script đọc status sau reboot.</t>
  </si>
  <si>
    <t xml:space="preserve">TC-F06</t>
  </si>
  <si>
    <t xml:space="preserve">Broker outage + auto-reconnect</t>
  </si>
  <si>
    <t xml:space="preserve">Ngắt broker 60s, khôi phục.</t>
  </si>
  <si>
    <t xml:space="preserve">MQTT_DISCONNECTED → s_connected=false; LoRa vẫn nhận uplink (node không GW_lost vì ACK rỗng vẫn gửi qua LoRa). Sau reconnect: re-subscribe cmd + publish online.</t>
  </si>
  <si>
    <t xml:space="preserve">Node không bị 'GW lost'; khi phục hồi lệnh server mới dùng được.</t>
  </si>
  <si>
    <t xml:space="preserve">Script + serial node theo dõi trong outage.</t>
  </si>
  <si>
    <t xml:space="preserve">TC-F07</t>
  </si>
  <si>
    <t xml:space="preserve">Node + Gateway cùng mất kết nối, rồi hồi phục</t>
  </si>
  <si>
    <t xml:space="preserve">Kết hợp TC-F06 + TC-E05.</t>
  </si>
  <si>
    <t xml:space="preserve">Ngắt cả broker và gateway-node link, chờ status offline (TC-C03).</t>
  </si>
  <si>
    <t xml:space="preserve">Sau khi cả 2 về → trạng thái online + có data mới.</t>
  </si>
  <si>
    <t xml:space="preserve">Trạng thái online + data mới xuất hiện.</t>
  </si>
  <si>
    <t xml:space="preserve">Script + serial theo dõi toàn chuỗi.</t>
  </si>
  <si>
    <t xml:space="preserve">TC-G01</t>
  </si>
  <si>
    <t xml:space="preserve">Uplink CRC sai → ignore</t>
  </si>
  <si>
    <t xml:space="preserve">Negative</t>
  </si>
  <si>
    <t xml:space="preserve">Edge case</t>
  </si>
  <si>
    <t xml:space="preserve">01 01 00 32 44 41 55 00 (CRC 0, sai).</t>
  </si>
  <si>
    <t xml:space="preserve">lora_read_packet false.</t>
  </si>
  <si>
    <t xml:space="preserve">Không data, không ACK.</t>
  </si>
  <si>
    <t xml:space="preserve">Script + serial gw kiểm tra không có phản hồi.</t>
  </si>
  <si>
    <t xml:space="preserve">TC-G02</t>
  </si>
  <si>
    <t xml:space="preserve">Downlink sai node → no ACK</t>
  </si>
  <si>
    <t xml:space="preserve">Node id=1.</t>
  </si>
  <si>
    <t xml:space="preserve">Downlink dest=0x02, CRC ok.</t>
  </si>
  <si>
    <t xml:space="preserve">'Downlink for node 0x02 - ignoring, no ACK'.</t>
  </si>
  <si>
    <t xml:space="preserve">Không ACK 0x03.</t>
  </si>
  <si>
    <t xml:space="preserve">Serial node.</t>
  </si>
  <si>
    <t xml:space="preserve">TC-G03</t>
  </si>
  <si>
    <t xml:space="preserve">JSON invalid / thiếu cmd</t>
  </si>
  <si>
    <t xml:space="preserve">{"foo":1} hoặc chuỗi không-JSON.</t>
  </si>
  <si>
    <t xml:space="preserve">Gw log 'JSON command missing cmd'; không forward, không cache.</t>
  </si>
  <si>
    <t xml:space="preserve">commands_cached = 0.</t>
  </si>
  <si>
    <t xml:space="preserve">Gateway log + script kiểm tra status.</t>
  </si>
  <si>
    <t xml:space="preserve">TC-G04</t>
  </si>
  <si>
    <t xml:space="preserve">Command lạ</t>
  </si>
  <si>
    <t xml:space="preserve">{"cmd":"do_thing"}.</t>
  </si>
  <si>
    <t xml:space="preserve">'Unknown command', không forward.</t>
  </si>
  <si>
    <t xml:space="preserve">Không forward lệnh xuống node.</t>
  </si>
  <si>
    <t xml:space="preserve">TC-G05</t>
  </si>
  <si>
    <t xml:space="preserve">set_threshold low &gt;= high → local reject</t>
  </si>
  <si>
    <t xml:space="preserve">{"cmd":"set_threshold","low":80,"high":80}.</t>
  </si>
  <si>
    <t xml:space="preserve">Gw clamp low/high≤100, low&gt;=high → local reject (local ngưỡng không đổi).</t>
  </si>
  <si>
    <t xml:space="preserve">Local không đổi.</t>
  </si>
  <si>
    <t xml:space="preserve">Gateway log + kiểm tra threshold hiện tại.</t>
  </si>
  <si>
    <t xml:space="preserve">TC-G06</t>
  </si>
  <si>
    <t xml:space="preserve">Node table đầy (11 node) → từ chối thêm</t>
  </si>
  <si>
    <t xml:space="preserve">Đã có đủ 10 node trong bảng.</t>
  </si>
  <si>
    <t xml:space="preserve">Packet node mới đến khi đủ 10.</t>
  </si>
  <si>
    <t xml:space="preserve">'Node table full, cannot add node'. Không thêm.</t>
  </si>
  <si>
    <t xml:space="preserve">Node thứ 11 không được thêm vào bảng.</t>
  </si>
  <si>
    <t xml:space="preserve">TC-G07</t>
  </si>
  <si>
    <t xml:space="preserve">Compact presence=0</t>
  </si>
  <si>
    <t xml:space="preserve">01 06 00 00 (presence=0).</t>
  </si>
  <si>
    <t xml:space="preserve">Merge không đổi field; data = giá trị cũ; không crash.</t>
  </si>
  <si>
    <t xml:space="preserve">Không crash, giá trị giữ nguyên.</t>
  </si>
  <si>
    <t xml:space="preserve">Serial gw/node + script.</t>
  </si>
  <si>
    <t xml:space="preserve">TC-G08</t>
  </si>
  <si>
    <t xml:space="preserve">battery=0xFF (external power)</t>
  </si>
  <si>
    <t xml:space="preserve">Data battery=0xFF.</t>
  </si>
  <si>
    <t xml:space="preserve">Gw publish battery:255. Không alarm low-battery.</t>
  </si>
  <si>
    <t xml:space="preserve">battery=255 trong JSON, không có cảnh báo pin yếu.</t>
  </si>
  <si>
    <t xml:space="preserve">Phụ lục — Cách verify / kết quả mong đợi</t>
  </si>
  <si>
    <t xml:space="preserve">Cách</t>
  </si>
  <si>
    <t xml:space="preserve">Tool</t>
  </si>
  <si>
    <t xml:space="preserve">byte-level LoRa</t>
  </si>
  <si>
    <t xml:space="preserve">serial monitor gateway + node</t>
  </si>
  <si>
    <t xml:space="preserve">idf.py monitor</t>
  </si>
  <si>
    <t xml:space="preserve">MQTT payload</t>
  </si>
  <si>
    <t xml:space="preserve">script listen (-l)</t>
  </si>
  <si>
    <t xml:space="preserve">mqtt_server_sim.py</t>
  </si>
  <si>
    <t xml:space="preserve">MQTT suite + report</t>
  </si>
  <si>
    <t xml:space="preserve">--suite file.json → PASS/FAIL</t>
  </si>
  <si>
    <t xml:space="preserve">trạng thái</t>
  </si>
  <si>
    <t xml:space="preserve">nodes_registered / commands_cached / uptime</t>
  </si>
  <si>
    <t xml:space="preserve">script</t>
  </si>
  <si>
    <t xml:space="preserve">CRC8 (XOR) tính vài mẫu:</t>
  </si>
  <si>
    <t xml:space="preserve">Hex bytes (trước CRC)</t>
  </si>
  <si>
    <t xml:space="preserve">CRC</t>
  </si>
  <si>
    <t xml:space="preserve">01 05 04 14 50</t>
  </si>
  <si>
    <t xml:space="preserve">0x44</t>
  </si>
  <si>
    <t xml:space="preserve">01 05 01 2C 01</t>
  </si>
  <si>
    <t xml:space="preserve">0x42</t>
  </si>
  <si>
    <t xml:space="preserve">01 04 01 01 00 00 FF</t>
  </si>
  <si>
    <t xml:space="preserve">0xFA</t>
  </si>
  <si>
    <t xml:space="preserve">01 05 02 3C 00</t>
  </si>
  <si>
    <t xml:space="preserve">0x3A</t>
  </si>
  <si>
    <t xml:space="preserve">01 01 00 32 44 41 55</t>
  </si>
  <si>
    <t xml:space="preserve">0xC9</t>
  </si>
  <si>
    <t xml:space="preserve">(Tự kiểm tra bằng hàm crc8_calculate trong gateway_irr/main/crc.c.)</t>
  </si>
  <si>
    <t xml:space="preserve">Nhiệt độ: luôn dùng wire byte (nhiệt độ + 40) khi khai báo input.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</si>
</sst>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203864"/>
      <name val="Arial"/>
      <family val="0"/>
      <charset val="1"/>
    </font>
    <font>
      <i val="true"/>
      <sz val="10"/>
      <name val="Consolas"/>
      <family val="0"/>
      <charset val="1"/>
    </font>
    <font>
      <sz val="10"/>
      <name val="Consolas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2DCDB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EAD1DC"/>
        <bgColor rgb="FFF2DCDB"/>
      </patternFill>
    </fill>
    <fill>
      <patternFill patternType="solid">
        <fgColor rgb="FFF2DCDB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EAD1DC"/>
      <rgbColor rgb="FFF2DCDB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9" min="4" style="1" width="11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customFormat="false" ht="15" hidden="false" customHeight="true" outlineLevel="0" collapsed="false">
      <c r="B6" s="5" t="s">
        <v>10</v>
      </c>
      <c r="C6" s="5" t="s">
        <v>11</v>
      </c>
      <c r="D6" s="6" t="n">
        <f aca="false">COUNTIF('Test Cases'!$A$2:$A$46,B6)</f>
        <v>4</v>
      </c>
      <c r="E6" s="6" t="n">
        <f aca="false">COUNTIFS('Test Cases'!$A$2:$A$46,B6,'Test Cases'!$K$2:$K$46,"Pass")</f>
        <v>0</v>
      </c>
      <c r="F6" s="6" t="n">
        <f aca="false">COUNTIFS('Test Cases'!$A$2:$A$46,B6,'Test Cases'!$K$2:$K$46,"Fail")</f>
        <v>0</v>
      </c>
      <c r="G6" s="6" t="n">
        <f aca="false">COUNTIFS('Test Cases'!$A$2:$A$46,B6,'Test Cases'!$K$2:$K$46,"Blocked")</f>
        <v>0</v>
      </c>
      <c r="H6" s="6" t="n">
        <f aca="false">D6-E6-F6-G6</f>
        <v>4</v>
      </c>
      <c r="I6" s="7" t="n">
        <f aca="false">IF(D6=0,0,E6/D6)</f>
        <v>0</v>
      </c>
    </row>
    <row r="7" customFormat="false" ht="15" hidden="false" customHeight="true" outlineLevel="0" collapsed="false">
      <c r="B7" s="5" t="s">
        <v>12</v>
      </c>
      <c r="C7" s="5" t="s">
        <v>13</v>
      </c>
      <c r="D7" s="6" t="n">
        <f aca="false">COUNTIF('Test Cases'!$A$2:$A$46,B7)</f>
        <v>5</v>
      </c>
      <c r="E7" s="6" t="n">
        <f aca="false">COUNTIFS('Test Cases'!$A$2:$A$46,B7,'Test Cases'!$K$2:$K$46,"Pass")</f>
        <v>0</v>
      </c>
      <c r="F7" s="6" t="n">
        <f aca="false">COUNTIFS('Test Cases'!$A$2:$A$46,B7,'Test Cases'!$K$2:$K$46,"Fail")</f>
        <v>0</v>
      </c>
      <c r="G7" s="6" t="n">
        <f aca="false">COUNTIFS('Test Cases'!$A$2:$A$46,B7,'Test Cases'!$K$2:$K$46,"Blocked")</f>
        <v>0</v>
      </c>
      <c r="H7" s="6" t="n">
        <f aca="false">D7-E7-F7-G7</f>
        <v>5</v>
      </c>
      <c r="I7" s="7" t="n">
        <f aca="false">IF(D7=0,0,E7/D7)</f>
        <v>0</v>
      </c>
    </row>
    <row r="8" customFormat="false" ht="15" hidden="false" customHeight="true" outlineLevel="0" collapsed="false">
      <c r="B8" s="5" t="s">
        <v>14</v>
      </c>
      <c r="C8" s="5" t="s">
        <v>15</v>
      </c>
      <c r="D8" s="6" t="n">
        <f aca="false">COUNTIF('Test Cases'!$A$2:$A$46,B8)</f>
        <v>5</v>
      </c>
      <c r="E8" s="6" t="n">
        <f aca="false">COUNTIFS('Test Cases'!$A$2:$A$46,B8,'Test Cases'!$K$2:$K$46,"Pass")</f>
        <v>0</v>
      </c>
      <c r="F8" s="6" t="n">
        <f aca="false">COUNTIFS('Test Cases'!$A$2:$A$46,B8,'Test Cases'!$K$2:$K$46,"Fail")</f>
        <v>0</v>
      </c>
      <c r="G8" s="6" t="n">
        <f aca="false">COUNTIFS('Test Cases'!$A$2:$A$46,B8,'Test Cases'!$K$2:$K$46,"Blocked")</f>
        <v>0</v>
      </c>
      <c r="H8" s="6" t="n">
        <f aca="false">D8-E8-F8-G8</f>
        <v>5</v>
      </c>
      <c r="I8" s="7" t="n">
        <f aca="false">IF(D8=0,0,E8/D8)</f>
        <v>0</v>
      </c>
    </row>
    <row r="9" customFormat="false" ht="15" hidden="false" customHeight="true" outlineLevel="0" collapsed="false">
      <c r="B9" s="5" t="s">
        <v>16</v>
      </c>
      <c r="C9" s="5" t="s">
        <v>17</v>
      </c>
      <c r="D9" s="6" t="n">
        <f aca="false">COUNTIF('Test Cases'!$A$2:$A$46,B9)</f>
        <v>10</v>
      </c>
      <c r="E9" s="6" t="n">
        <f aca="false">COUNTIFS('Test Cases'!$A$2:$A$46,B9,'Test Cases'!$K$2:$K$46,"Pass")</f>
        <v>0</v>
      </c>
      <c r="F9" s="6" t="n">
        <f aca="false">COUNTIFS('Test Cases'!$A$2:$A$46,B9,'Test Cases'!$K$2:$K$46,"Fail")</f>
        <v>0</v>
      </c>
      <c r="G9" s="6" t="n">
        <f aca="false">COUNTIFS('Test Cases'!$A$2:$A$46,B9,'Test Cases'!$K$2:$K$46,"Blocked")</f>
        <v>0</v>
      </c>
      <c r="H9" s="6" t="n">
        <f aca="false">D9-E9-F9-G9</f>
        <v>10</v>
      </c>
      <c r="I9" s="7" t="n">
        <f aca="false">IF(D9=0,0,E9/D9)</f>
        <v>0</v>
      </c>
    </row>
    <row r="10" customFormat="false" ht="15" hidden="false" customHeight="true" outlineLevel="0" collapsed="false">
      <c r="B10" s="5" t="s">
        <v>18</v>
      </c>
      <c r="C10" s="5" t="s">
        <v>19</v>
      </c>
      <c r="D10" s="6" t="n">
        <f aca="false">COUNTIF('Test Cases'!$A$2:$A$46,B10)</f>
        <v>6</v>
      </c>
      <c r="E10" s="6" t="n">
        <f aca="false">COUNTIFS('Test Cases'!$A$2:$A$46,B10,'Test Cases'!$K$2:$K$46,"Pass")</f>
        <v>0</v>
      </c>
      <c r="F10" s="6" t="n">
        <f aca="false">COUNTIFS('Test Cases'!$A$2:$A$46,B10,'Test Cases'!$K$2:$K$46,"Fail")</f>
        <v>0</v>
      </c>
      <c r="G10" s="6" t="n">
        <f aca="false">COUNTIFS('Test Cases'!$A$2:$A$46,B10,'Test Cases'!$K$2:$K$46,"Blocked")</f>
        <v>0</v>
      </c>
      <c r="H10" s="6" t="n">
        <f aca="false">D10-E10-F10-G10</f>
        <v>6</v>
      </c>
      <c r="I10" s="7" t="n">
        <f aca="false">IF(D10=0,0,E10/D10)</f>
        <v>0</v>
      </c>
    </row>
    <row r="11" customFormat="false" ht="15" hidden="false" customHeight="true" outlineLevel="0" collapsed="false">
      <c r="B11" s="5" t="s">
        <v>20</v>
      </c>
      <c r="C11" s="5" t="s">
        <v>21</v>
      </c>
      <c r="D11" s="6" t="n">
        <f aca="false">COUNTIF('Test Cases'!$A$2:$A$46,B11)</f>
        <v>7</v>
      </c>
      <c r="E11" s="6" t="n">
        <f aca="false">COUNTIFS('Test Cases'!$A$2:$A$46,B11,'Test Cases'!$K$2:$K$46,"Pass")</f>
        <v>0</v>
      </c>
      <c r="F11" s="6" t="n">
        <f aca="false">COUNTIFS('Test Cases'!$A$2:$A$46,B11,'Test Cases'!$K$2:$K$46,"Fail")</f>
        <v>0</v>
      </c>
      <c r="G11" s="6" t="n">
        <f aca="false">COUNTIFS('Test Cases'!$A$2:$A$46,B11,'Test Cases'!$K$2:$K$46,"Blocked")</f>
        <v>0</v>
      </c>
      <c r="H11" s="6" t="n">
        <f aca="false">D11-E11-F11-G11</f>
        <v>7</v>
      </c>
      <c r="I11" s="7" t="n">
        <f aca="false">IF(D11=0,0,E11/D11)</f>
        <v>0</v>
      </c>
    </row>
    <row r="12" customFormat="false" ht="15" hidden="false" customHeight="true" outlineLevel="0" collapsed="false">
      <c r="B12" s="5" t="s">
        <v>22</v>
      </c>
      <c r="C12" s="5" t="s">
        <v>23</v>
      </c>
      <c r="D12" s="6" t="n">
        <f aca="false">COUNTIF('Test Cases'!$A$2:$A$46,B12)</f>
        <v>8</v>
      </c>
      <c r="E12" s="6" t="n">
        <f aca="false">COUNTIFS('Test Cases'!$A$2:$A$46,B12,'Test Cases'!$K$2:$K$46,"Pass")</f>
        <v>0</v>
      </c>
      <c r="F12" s="6" t="n">
        <f aca="false">COUNTIFS('Test Cases'!$A$2:$A$46,B12,'Test Cases'!$K$2:$K$46,"Fail")</f>
        <v>0</v>
      </c>
      <c r="G12" s="6" t="n">
        <f aca="false">COUNTIFS('Test Cases'!$A$2:$A$46,B12,'Test Cases'!$K$2:$K$46,"Blocked")</f>
        <v>0</v>
      </c>
      <c r="H12" s="6" t="n">
        <f aca="false">D12-E12-F12-G12</f>
        <v>8</v>
      </c>
      <c r="I12" s="7" t="n">
        <f aca="false">IF(D12=0,0,E12/D12)</f>
        <v>0</v>
      </c>
    </row>
    <row r="13" customFormat="false" ht="15" hidden="false" customHeight="true" outlineLevel="0" collapsed="false">
      <c r="B13" s="8" t="s">
        <v>24</v>
      </c>
      <c r="C13" s="8"/>
      <c r="D13" s="9" t="n">
        <f aca="false">SUM(D6:D12)</f>
        <v>45</v>
      </c>
      <c r="E13" s="9" t="n">
        <f aca="false">SUM(E6:E12)</f>
        <v>0</v>
      </c>
      <c r="F13" s="9" t="n">
        <f aca="false">SUM(F6:F12)</f>
        <v>0</v>
      </c>
      <c r="G13" s="9" t="n">
        <f aca="false">SUM(G6:G12)</f>
        <v>0</v>
      </c>
      <c r="H13" s="9" t="n">
        <f aca="false">SUM(H6:H12)</f>
        <v>45</v>
      </c>
      <c r="I13" s="10" t="n">
        <f aca="false">IF(D13=0,0,E13/D13)</f>
        <v>0</v>
      </c>
    </row>
    <row r="16" customFormat="false" ht="15" hidden="false" customHeight="true" outlineLevel="0" collapsed="false">
      <c r="B16" s="11" t="s">
        <v>25</v>
      </c>
    </row>
    <row r="17" customFormat="false" ht="15" hidden="false" customHeight="true" outlineLevel="0" collapsed="false">
      <c r="B17" s="12" t="s">
        <v>26</v>
      </c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B18" s="12" t="s">
        <v>27</v>
      </c>
      <c r="C18" s="12"/>
      <c r="D18" s="12"/>
      <c r="E18" s="12"/>
      <c r="F18" s="12"/>
      <c r="G18" s="12"/>
      <c r="H18" s="12"/>
    </row>
    <row r="19" customFormat="false" ht="15" hidden="false" customHeight="true" outlineLevel="0" collapsed="false">
      <c r="B19" s="12" t="s">
        <v>28</v>
      </c>
      <c r="C19" s="12"/>
      <c r="D19" s="12"/>
      <c r="E19" s="12"/>
      <c r="F19" s="12"/>
      <c r="G19" s="12"/>
      <c r="H19" s="12"/>
    </row>
    <row r="20" customFormat="false" ht="15" hidden="false" customHeight="true" outlineLevel="0" collapsed="false">
      <c r="B20" s="12" t="s">
        <v>29</v>
      </c>
      <c r="C20" s="12"/>
      <c r="D20" s="12"/>
      <c r="E20" s="12"/>
      <c r="F20" s="12"/>
      <c r="G20" s="12"/>
      <c r="H20" s="12"/>
    </row>
  </sheetData>
  <mergeCells count="7">
    <mergeCell ref="B2:H2"/>
    <mergeCell ref="B3:H3"/>
    <mergeCell ref="B13:C13"/>
    <mergeCell ref="B17:H17"/>
    <mergeCell ref="B18:H18"/>
    <mergeCell ref="B19:H19"/>
    <mergeCell ref="B20:H20"/>
  </mergeCells>
  <conditionalFormatting sqref="I6:I13">
    <cfRule type="expression" priority="2" aboveAverage="0" equalAverage="0" bottom="0" percent="0" rank="0" text="" dxfId="0">
      <formula>I6&gt;=0.8</formula>
    </cfRule>
    <cfRule type="expression" priority="3" aboveAverage="0" equalAverage="0" bottom="0" percent="0" rank="0" text="" dxfId="1">
      <formula>AND(I6&lt;0.8,I6&gt;=0.5)</formula>
    </cfRule>
    <cfRule type="expression" priority="4" aboveAverage="0" equalAverage="0" bottom="0" percent="0" rank="0" text="" dxfId="2">
      <formula>I6&lt;0.5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0"/>
  </cols>
  <sheetData>
    <row r="2" customFormat="false" ht="19.7" hidden="false" customHeight="false" outlineLevel="0" collapsed="false">
      <c r="B2" s="13" t="s">
        <v>30</v>
      </c>
      <c r="C2" s="13"/>
      <c r="D2" s="13"/>
      <c r="E2" s="13"/>
      <c r="F2" s="13"/>
      <c r="G2" s="13"/>
      <c r="H2" s="13"/>
    </row>
    <row r="3" customFormat="false" ht="18" hidden="false" customHeight="true" outlineLevel="0" collapsed="false">
      <c r="B3" s="14" t="s">
        <v>31</v>
      </c>
      <c r="C3" s="14"/>
      <c r="D3" s="14"/>
      <c r="E3" s="14"/>
      <c r="F3" s="14"/>
      <c r="G3" s="14"/>
      <c r="H3" s="14"/>
    </row>
    <row r="4" customFormat="false" ht="15" hidden="false" customHeight="false" outlineLevel="0" collapsed="false">
      <c r="B4" s="14" t="s">
        <v>32</v>
      </c>
      <c r="C4" s="14"/>
      <c r="D4" s="14"/>
      <c r="E4" s="14"/>
      <c r="F4" s="14"/>
      <c r="G4" s="14"/>
      <c r="H4" s="14"/>
    </row>
    <row r="6" customFormat="false" ht="15" hidden="false" customHeight="false" outlineLevel="0" collapsed="false">
      <c r="B6" s="15" t="s">
        <v>33</v>
      </c>
    </row>
    <row r="7" customFormat="false" ht="15" hidden="false" customHeight="false" outlineLevel="0" collapsed="false">
      <c r="B7" s="4" t="s">
        <v>34</v>
      </c>
      <c r="C7" s="4" t="s">
        <v>35</v>
      </c>
      <c r="D7" s="4" t="s">
        <v>36</v>
      </c>
      <c r="E7" s="4" t="s">
        <v>37</v>
      </c>
    </row>
    <row r="8" customFormat="false" ht="15" hidden="false" customHeight="false" outlineLevel="0" collapsed="false">
      <c r="B8" s="16" t="s">
        <v>38</v>
      </c>
      <c r="C8" s="16" t="s">
        <v>39</v>
      </c>
      <c r="D8" s="16" t="s">
        <v>40</v>
      </c>
      <c r="E8" s="16" t="s">
        <v>41</v>
      </c>
    </row>
    <row r="9" customFormat="false" ht="15" hidden="false" customHeight="false" outlineLevel="0" collapsed="false">
      <c r="B9" s="16" t="s">
        <v>42</v>
      </c>
      <c r="C9" s="16" t="s">
        <v>43</v>
      </c>
      <c r="D9" s="16" t="s">
        <v>44</v>
      </c>
      <c r="E9" s="16" t="s">
        <v>45</v>
      </c>
    </row>
    <row r="10" customFormat="false" ht="15" hidden="false" customHeight="false" outlineLevel="0" collapsed="false">
      <c r="B10" s="16" t="s">
        <v>46</v>
      </c>
      <c r="C10" s="16" t="s">
        <v>47</v>
      </c>
      <c r="D10" s="16" t="s">
        <v>48</v>
      </c>
      <c r="E10" s="16" t="s">
        <v>49</v>
      </c>
    </row>
    <row r="13" customFormat="false" ht="15" hidden="false" customHeight="false" outlineLevel="0" collapsed="false">
      <c r="B13" s="15" t="s">
        <v>50</v>
      </c>
    </row>
    <row r="14" customFormat="false" ht="15" hidden="false" customHeight="false" outlineLevel="0" collapsed="false">
      <c r="B14" s="17" t="s">
        <v>51</v>
      </c>
      <c r="C14" s="17"/>
      <c r="D14" s="17"/>
      <c r="E14" s="17"/>
      <c r="F14" s="17"/>
      <c r="G14" s="17"/>
      <c r="H14" s="17"/>
    </row>
    <row r="15" customFormat="false" ht="15" hidden="false" customHeight="false" outlineLevel="0" collapsed="false">
      <c r="B15" s="17" t="s">
        <v>52</v>
      </c>
      <c r="C15" s="17"/>
      <c r="D15" s="17"/>
      <c r="E15" s="17"/>
      <c r="F15" s="17"/>
      <c r="G15" s="17"/>
      <c r="H15" s="17"/>
    </row>
    <row r="16" customFormat="false" ht="15" hidden="false" customHeight="false" outlineLevel="0" collapsed="false">
      <c r="B16" s="17" t="s">
        <v>53</v>
      </c>
      <c r="C16" s="17"/>
      <c r="D16" s="17"/>
      <c r="E16" s="17"/>
      <c r="F16" s="17"/>
      <c r="G16" s="17"/>
      <c r="H16" s="17"/>
    </row>
    <row r="17" customFormat="false" ht="15" hidden="false" customHeight="false" outlineLevel="0" collapsed="false">
      <c r="B17" s="17" t="s">
        <v>54</v>
      </c>
      <c r="C17" s="17"/>
      <c r="D17" s="17"/>
      <c r="E17" s="17"/>
      <c r="F17" s="17"/>
      <c r="G17" s="17"/>
      <c r="H17" s="17"/>
    </row>
    <row r="18" customFormat="false" ht="15" hidden="false" customHeight="false" outlineLevel="0" collapsed="false">
      <c r="B18" s="17" t="s">
        <v>55</v>
      </c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B19" s="17" t="s">
        <v>56</v>
      </c>
      <c r="C19" s="17"/>
      <c r="D19" s="17"/>
      <c r="E19" s="17"/>
      <c r="F19" s="17"/>
      <c r="G19" s="17"/>
      <c r="H19" s="17"/>
    </row>
    <row r="21" customFormat="false" ht="15" hidden="false" customHeight="false" outlineLevel="0" collapsed="false">
      <c r="B21" s="15" t="s">
        <v>57</v>
      </c>
    </row>
    <row r="22" customFormat="false" ht="15" hidden="false" customHeight="false" outlineLevel="0" collapsed="false">
      <c r="B22" s="17" t="s">
        <v>58</v>
      </c>
      <c r="C22" s="17"/>
      <c r="D22" s="17"/>
      <c r="E22" s="17"/>
      <c r="F22" s="17"/>
      <c r="G22" s="17"/>
      <c r="H22" s="17"/>
    </row>
    <row r="23" customFormat="false" ht="15" hidden="false" customHeight="false" outlineLevel="0" collapsed="false">
      <c r="B23" s="17" t="s">
        <v>59</v>
      </c>
      <c r="C23" s="17"/>
      <c r="D23" s="17"/>
      <c r="E23" s="17"/>
      <c r="F23" s="17"/>
      <c r="G23" s="17"/>
      <c r="H23" s="17"/>
    </row>
    <row r="24" customFormat="false" ht="15" hidden="false" customHeight="false" outlineLevel="0" collapsed="false">
      <c r="B24" s="17" t="s">
        <v>60</v>
      </c>
      <c r="C24" s="17"/>
      <c r="D24" s="17"/>
      <c r="E24" s="17"/>
      <c r="F24" s="17"/>
      <c r="G24" s="17"/>
      <c r="H24" s="17"/>
    </row>
    <row r="25" customFormat="false" ht="15" hidden="false" customHeight="false" outlineLevel="0" collapsed="false">
      <c r="B25" s="17" t="s">
        <v>61</v>
      </c>
      <c r="C25" s="17"/>
      <c r="D25" s="17"/>
      <c r="E25" s="17"/>
      <c r="F25" s="17"/>
      <c r="G25" s="17"/>
      <c r="H25" s="17"/>
    </row>
    <row r="26" customFormat="false" ht="15" hidden="false" customHeight="false" outlineLevel="0" collapsed="false">
      <c r="B26" s="18" t="s">
        <v>62</v>
      </c>
      <c r="C26" s="18"/>
      <c r="D26" s="18"/>
      <c r="E26" s="18"/>
      <c r="F26" s="18"/>
      <c r="G26" s="18"/>
      <c r="H26" s="18"/>
    </row>
    <row r="27" customFormat="false" ht="15" hidden="false" customHeight="false" outlineLevel="0" collapsed="false">
      <c r="B27" s="18" t="s">
        <v>63</v>
      </c>
      <c r="C27" s="18"/>
      <c r="D27" s="18"/>
      <c r="E27" s="18"/>
      <c r="F27" s="18"/>
      <c r="G27" s="18"/>
      <c r="H27" s="18"/>
    </row>
    <row r="28" customFormat="false" ht="15" hidden="false" customHeight="false" outlineLevel="0" collapsed="false">
      <c r="B28" s="17" t="s">
        <v>64</v>
      </c>
      <c r="C28" s="17"/>
      <c r="D28" s="17"/>
      <c r="E28" s="17"/>
      <c r="F28" s="17"/>
      <c r="G28" s="17"/>
      <c r="H28" s="17"/>
    </row>
    <row r="30" customFormat="false" ht="15" hidden="false" customHeight="false" outlineLevel="0" collapsed="false">
      <c r="B30" s="19" t="s">
        <v>65</v>
      </c>
      <c r="C30" s="19"/>
      <c r="D30" s="19"/>
      <c r="E30" s="19"/>
      <c r="F30" s="19"/>
      <c r="G30" s="19"/>
      <c r="H30" s="19"/>
    </row>
  </sheetData>
  <mergeCells count="17">
    <mergeCell ref="B2:H2"/>
    <mergeCell ref="B3:H3"/>
    <mergeCell ref="B4:H4"/>
    <mergeCell ref="B14:H14"/>
    <mergeCell ref="B15:H15"/>
    <mergeCell ref="B16:H16"/>
    <mergeCell ref="B17:H17"/>
    <mergeCell ref="B18:H18"/>
    <mergeCell ref="B19:H19"/>
    <mergeCell ref="B22:H22"/>
    <mergeCell ref="B23:H23"/>
    <mergeCell ref="B24:H24"/>
    <mergeCell ref="B25:H25"/>
    <mergeCell ref="B26:H26"/>
    <mergeCell ref="B27:H27"/>
    <mergeCell ref="B28:H28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55"/>
  </cols>
  <sheetData>
    <row r="2" customFormat="false" ht="19.7" hidden="false" customHeight="false" outlineLevel="0" collapsed="false">
      <c r="B2" s="13" t="s">
        <v>66</v>
      </c>
      <c r="C2" s="13"/>
      <c r="D2" s="13"/>
      <c r="E2" s="13"/>
      <c r="F2" s="13"/>
      <c r="G2" s="13"/>
      <c r="H2" s="13"/>
    </row>
    <row r="4" customFormat="false" ht="15" hidden="false" customHeight="false" outlineLevel="0" collapsed="false">
      <c r="B4" s="15" t="s">
        <v>67</v>
      </c>
    </row>
    <row r="5" customFormat="false" ht="15" hidden="false" customHeight="false" outlineLevel="0" collapsed="false">
      <c r="B5" s="20" t="s">
        <v>68</v>
      </c>
      <c r="C5" s="20"/>
      <c r="D5" s="20"/>
      <c r="E5" s="20"/>
      <c r="F5" s="20"/>
      <c r="G5" s="20"/>
      <c r="H5" s="20"/>
    </row>
    <row r="6" customFormat="false" ht="15" hidden="false" customHeight="false" outlineLevel="0" collapsed="false">
      <c r="B6" s="17" t="s">
        <v>69</v>
      </c>
      <c r="C6" s="17"/>
      <c r="D6" s="17"/>
      <c r="E6" s="17"/>
      <c r="F6" s="17"/>
      <c r="G6" s="17"/>
      <c r="H6" s="17"/>
    </row>
    <row r="7" customFormat="false" ht="15" hidden="false" customHeight="false" outlineLevel="0" collapsed="false">
      <c r="B7" s="17" t="s">
        <v>70</v>
      </c>
      <c r="C7" s="17"/>
      <c r="D7" s="17"/>
      <c r="E7" s="17"/>
      <c r="F7" s="17"/>
      <c r="G7" s="17"/>
      <c r="H7" s="17"/>
    </row>
    <row r="9" customFormat="false" ht="15" hidden="false" customHeight="false" outlineLevel="0" collapsed="false">
      <c r="B9" s="15" t="s">
        <v>71</v>
      </c>
    </row>
    <row r="10" customFormat="false" ht="15" hidden="false" customHeight="false" outlineLevel="0" collapsed="false">
      <c r="B10" s="20" t="s">
        <v>72</v>
      </c>
      <c r="C10" s="20"/>
      <c r="D10" s="20"/>
      <c r="E10" s="20"/>
      <c r="F10" s="20"/>
      <c r="G10" s="20"/>
      <c r="H10" s="20"/>
    </row>
    <row r="11" customFormat="false" ht="15" hidden="false" customHeight="false" outlineLevel="0" collapsed="false">
      <c r="B11" s="17" t="s">
        <v>73</v>
      </c>
      <c r="C11" s="17"/>
      <c r="D11" s="17"/>
      <c r="E11" s="17"/>
      <c r="F11" s="17"/>
      <c r="G11" s="17"/>
      <c r="H11" s="17"/>
    </row>
    <row r="13" customFormat="false" ht="15" hidden="false" customHeight="false" outlineLevel="0" collapsed="false">
      <c r="B13" s="15" t="s">
        <v>74</v>
      </c>
    </row>
    <row r="14" customFormat="false" ht="15" hidden="false" customHeight="false" outlineLevel="0" collapsed="false">
      <c r="B14" s="4" t="s">
        <v>75</v>
      </c>
      <c r="C14" s="4" t="s">
        <v>76</v>
      </c>
    </row>
    <row r="15" customFormat="false" ht="15" hidden="false" customHeight="false" outlineLevel="0" collapsed="false">
      <c r="B15" s="16" t="s">
        <v>77</v>
      </c>
      <c r="C15" s="16" t="s">
        <v>78</v>
      </c>
    </row>
    <row r="16" customFormat="false" ht="15" hidden="false" customHeight="false" outlineLevel="0" collapsed="false">
      <c r="B16" s="16" t="s">
        <v>79</v>
      </c>
      <c r="C16" s="16" t="s">
        <v>80</v>
      </c>
    </row>
    <row r="17" customFormat="false" ht="15" hidden="false" customHeight="false" outlineLevel="0" collapsed="false">
      <c r="B17" s="16" t="s">
        <v>81</v>
      </c>
      <c r="C17" s="16" t="s">
        <v>82</v>
      </c>
    </row>
    <row r="18" customFormat="false" ht="15" hidden="false" customHeight="false" outlineLevel="0" collapsed="false">
      <c r="B18" s="16" t="s">
        <v>83</v>
      </c>
      <c r="C18" s="16" t="s">
        <v>84</v>
      </c>
    </row>
    <row r="19" customFormat="false" ht="15" hidden="false" customHeight="false" outlineLevel="0" collapsed="false">
      <c r="B19" s="16" t="s">
        <v>85</v>
      </c>
      <c r="C19" s="16" t="s">
        <v>86</v>
      </c>
    </row>
    <row r="21" customFormat="false" ht="15" hidden="false" customHeight="false" outlineLevel="0" collapsed="false">
      <c r="B21" s="15" t="s">
        <v>87</v>
      </c>
    </row>
    <row r="22" customFormat="false" ht="15" hidden="false" customHeight="false" outlineLevel="0" collapsed="false">
      <c r="B22" s="4" t="s">
        <v>88</v>
      </c>
      <c r="C22" s="4" t="s">
        <v>76</v>
      </c>
    </row>
    <row r="23" customFormat="false" ht="15" hidden="false" customHeight="false" outlineLevel="0" collapsed="false">
      <c r="B23" s="16" t="s">
        <v>77</v>
      </c>
      <c r="C23" s="16" t="s">
        <v>89</v>
      </c>
    </row>
    <row r="24" customFormat="false" ht="15" hidden="false" customHeight="false" outlineLevel="0" collapsed="false">
      <c r="B24" s="16" t="s">
        <v>79</v>
      </c>
      <c r="C24" s="16" t="s">
        <v>90</v>
      </c>
    </row>
    <row r="25" customFormat="false" ht="15" hidden="false" customHeight="false" outlineLevel="0" collapsed="false">
      <c r="B25" s="16" t="s">
        <v>83</v>
      </c>
      <c r="C25" s="16" t="s">
        <v>91</v>
      </c>
    </row>
    <row r="26" customFormat="false" ht="15" hidden="false" customHeight="false" outlineLevel="0" collapsed="false">
      <c r="B26" s="16" t="s">
        <v>92</v>
      </c>
      <c r="C26" s="16" t="s">
        <v>93</v>
      </c>
    </row>
    <row r="28" customFormat="false" ht="15" hidden="false" customHeight="false" outlineLevel="0" collapsed="false">
      <c r="B28" s="15" t="s">
        <v>94</v>
      </c>
    </row>
    <row r="29" customFormat="false" ht="15" hidden="false" customHeight="false" outlineLevel="0" collapsed="false">
      <c r="B29" s="4" t="s">
        <v>88</v>
      </c>
      <c r="C29" s="4" t="s">
        <v>95</v>
      </c>
    </row>
    <row r="30" customFormat="false" ht="15" hidden="false" customHeight="false" outlineLevel="0" collapsed="false">
      <c r="B30" s="16" t="s">
        <v>77</v>
      </c>
      <c r="C30" s="16" t="s">
        <v>96</v>
      </c>
    </row>
    <row r="31" customFormat="false" ht="15" hidden="false" customHeight="false" outlineLevel="0" collapsed="false">
      <c r="B31" s="16" t="s">
        <v>79</v>
      </c>
      <c r="C31" s="16" t="s">
        <v>97</v>
      </c>
    </row>
    <row r="32" customFormat="false" ht="15" hidden="false" customHeight="false" outlineLevel="0" collapsed="false">
      <c r="B32" s="16" t="s">
        <v>83</v>
      </c>
      <c r="C32" s="16" t="s">
        <v>98</v>
      </c>
    </row>
    <row r="33" customFormat="false" ht="15" hidden="false" customHeight="false" outlineLevel="0" collapsed="false">
      <c r="B33" s="16" t="s">
        <v>92</v>
      </c>
      <c r="C33" s="16" t="s">
        <v>99</v>
      </c>
    </row>
    <row r="34" customFormat="false" ht="15" hidden="false" customHeight="false" outlineLevel="0" collapsed="false">
      <c r="B34" s="16" t="s">
        <v>100</v>
      </c>
      <c r="C34" s="16" t="s">
        <v>101</v>
      </c>
    </row>
    <row r="36" customFormat="false" ht="15" hidden="false" customHeight="false" outlineLevel="0" collapsed="false">
      <c r="B36" s="15" t="s">
        <v>102</v>
      </c>
    </row>
    <row r="37" customFormat="false" ht="15" hidden="false" customHeight="false" outlineLevel="0" collapsed="false">
      <c r="B37" s="4" t="s">
        <v>75</v>
      </c>
      <c r="C37" s="4" t="s">
        <v>103</v>
      </c>
    </row>
    <row r="38" customFormat="false" ht="15" hidden="false" customHeight="false" outlineLevel="0" collapsed="false">
      <c r="B38" s="16" t="s">
        <v>77</v>
      </c>
      <c r="C38" s="16" t="s">
        <v>104</v>
      </c>
    </row>
    <row r="39" customFormat="false" ht="15" hidden="false" customHeight="false" outlineLevel="0" collapsed="false">
      <c r="B39" s="16" t="s">
        <v>79</v>
      </c>
      <c r="C39" s="16" t="s">
        <v>105</v>
      </c>
    </row>
    <row r="40" customFormat="false" ht="15" hidden="false" customHeight="false" outlineLevel="0" collapsed="false">
      <c r="B40" s="16" t="s">
        <v>81</v>
      </c>
      <c r="C40" s="16" t="s">
        <v>106</v>
      </c>
    </row>
    <row r="41" customFormat="false" ht="15" hidden="false" customHeight="false" outlineLevel="0" collapsed="false">
      <c r="B41" s="16" t="s">
        <v>83</v>
      </c>
      <c r="C41" s="16" t="s">
        <v>107</v>
      </c>
    </row>
    <row r="42" customFormat="false" ht="15" hidden="false" customHeight="false" outlineLevel="0" collapsed="false">
      <c r="B42" s="16" t="s">
        <v>108</v>
      </c>
      <c r="C42" s="16" t="s">
        <v>109</v>
      </c>
    </row>
    <row r="43" customFormat="false" ht="15" hidden="false" customHeight="false" outlineLevel="0" collapsed="false">
      <c r="B43" s="16" t="s">
        <v>85</v>
      </c>
      <c r="C43" s="16" t="s">
        <v>110</v>
      </c>
    </row>
    <row r="44" customFormat="false" ht="15" hidden="false" customHeight="false" outlineLevel="0" collapsed="false">
      <c r="B44" s="16" t="s">
        <v>111</v>
      </c>
      <c r="C44" s="16" t="s">
        <v>112</v>
      </c>
    </row>
    <row r="45" customFormat="false" ht="15" hidden="false" customHeight="false" outlineLevel="0" collapsed="false">
      <c r="B45" s="16" t="s">
        <v>92</v>
      </c>
      <c r="C45" s="16" t="s">
        <v>113</v>
      </c>
    </row>
    <row r="46" customFormat="false" ht="15" hidden="false" customHeight="false" outlineLevel="0" collapsed="false">
      <c r="B46" s="16" t="s">
        <v>114</v>
      </c>
      <c r="C46" s="16" t="s">
        <v>115</v>
      </c>
    </row>
    <row r="47" customFormat="false" ht="15" hidden="false" customHeight="false" outlineLevel="0" collapsed="false">
      <c r="B47" s="16" t="s">
        <v>116</v>
      </c>
      <c r="C47" s="16" t="s">
        <v>117</v>
      </c>
    </row>
    <row r="49" customFormat="false" ht="15" hidden="false" customHeight="false" outlineLevel="0" collapsed="false">
      <c r="B49" s="15" t="s">
        <v>118</v>
      </c>
    </row>
    <row r="50" customFormat="false" ht="15" hidden="false" customHeight="false" outlineLevel="0" collapsed="false">
      <c r="B50" s="4" t="s">
        <v>75</v>
      </c>
      <c r="C50" s="4" t="s">
        <v>76</v>
      </c>
    </row>
    <row r="51" customFormat="false" ht="15" hidden="false" customHeight="false" outlineLevel="0" collapsed="false">
      <c r="B51" s="16" t="s">
        <v>77</v>
      </c>
      <c r="C51" s="16" t="s">
        <v>119</v>
      </c>
    </row>
    <row r="52" customFormat="false" ht="15" hidden="false" customHeight="false" outlineLevel="0" collapsed="false">
      <c r="B52" s="16" t="s">
        <v>79</v>
      </c>
      <c r="C52" s="16" t="s">
        <v>120</v>
      </c>
    </row>
    <row r="53" customFormat="false" ht="15" hidden="false" customHeight="false" outlineLevel="0" collapsed="false">
      <c r="B53" s="16" t="s">
        <v>81</v>
      </c>
      <c r="C53" s="16" t="s">
        <v>121</v>
      </c>
    </row>
    <row r="54" customFormat="false" ht="15" hidden="false" customHeight="false" outlineLevel="0" collapsed="false">
      <c r="B54" s="16" t="s">
        <v>83</v>
      </c>
      <c r="C54" s="16" t="s">
        <v>122</v>
      </c>
    </row>
    <row r="55" customFormat="false" ht="15" hidden="false" customHeight="false" outlineLevel="0" collapsed="false">
      <c r="B55" s="16" t="s">
        <v>108</v>
      </c>
      <c r="C55" s="16" t="s">
        <v>123</v>
      </c>
    </row>
    <row r="57" customFormat="false" ht="15" hidden="false" customHeight="false" outlineLevel="0" collapsed="false">
      <c r="B57" s="15" t="s">
        <v>124</v>
      </c>
    </row>
    <row r="58" customFormat="false" ht="15" hidden="false" customHeight="false" outlineLevel="0" collapsed="false">
      <c r="B58" s="4" t="s">
        <v>125</v>
      </c>
      <c r="C58" s="4" t="s">
        <v>126</v>
      </c>
    </row>
    <row r="59" customFormat="false" ht="15" hidden="false" customHeight="false" outlineLevel="0" collapsed="false">
      <c r="B59" s="16" t="n">
        <v>1</v>
      </c>
      <c r="C59" s="16" t="s">
        <v>127</v>
      </c>
    </row>
    <row r="60" customFormat="false" ht="15" hidden="false" customHeight="false" outlineLevel="0" collapsed="false">
      <c r="B60" s="16" t="n">
        <v>2</v>
      </c>
      <c r="C60" s="16" t="s">
        <v>128</v>
      </c>
    </row>
    <row r="61" customFormat="false" ht="15" hidden="false" customHeight="false" outlineLevel="0" collapsed="false">
      <c r="B61" s="16" t="n">
        <v>3</v>
      </c>
      <c r="C61" s="16" t="s">
        <v>129</v>
      </c>
    </row>
    <row r="62" customFormat="false" ht="15" hidden="false" customHeight="false" outlineLevel="0" collapsed="false">
      <c r="B62" s="16" t="n">
        <v>4</v>
      </c>
      <c r="C62" s="16" t="s">
        <v>130</v>
      </c>
    </row>
    <row r="63" customFormat="false" ht="15" hidden="false" customHeight="false" outlineLevel="0" collapsed="false">
      <c r="B63" s="16" t="n">
        <v>5</v>
      </c>
      <c r="C63" s="16" t="s">
        <v>131</v>
      </c>
    </row>
  </sheetData>
  <mergeCells count="6">
    <mergeCell ref="B2:H2"/>
    <mergeCell ref="B5:H5"/>
    <mergeCell ref="B6:H6"/>
    <mergeCell ref="B7:H7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3" t="s">
        <v>132</v>
      </c>
      <c r="C2" s="13"/>
      <c r="D2" s="13"/>
      <c r="E2" s="13"/>
      <c r="F2" s="13"/>
    </row>
    <row r="4" customFormat="false" ht="15" hidden="false" customHeight="false" outlineLevel="0" collapsed="false">
      <c r="B4" s="4" t="s">
        <v>133</v>
      </c>
      <c r="C4" s="4" t="s">
        <v>134</v>
      </c>
      <c r="D4" s="4" t="s">
        <v>135</v>
      </c>
    </row>
    <row r="5" customFormat="false" ht="15" hidden="false" customHeight="false" outlineLevel="0" collapsed="false">
      <c r="B5" s="16" t="s">
        <v>136</v>
      </c>
      <c r="C5" s="16" t="s">
        <v>137</v>
      </c>
      <c r="D5" s="16" t="s">
        <v>138</v>
      </c>
    </row>
    <row r="6" customFormat="false" ht="15" hidden="false" customHeight="false" outlineLevel="0" collapsed="false">
      <c r="B6" s="16" t="s">
        <v>136</v>
      </c>
      <c r="C6" s="16" t="s">
        <v>139</v>
      </c>
      <c r="D6" s="16" t="s">
        <v>140</v>
      </c>
    </row>
    <row r="7" customFormat="false" ht="15" hidden="false" customHeight="false" outlineLevel="0" collapsed="false">
      <c r="B7" s="16" t="s">
        <v>136</v>
      </c>
      <c r="C7" s="16" t="s">
        <v>141</v>
      </c>
      <c r="D7" s="16" t="s">
        <v>142</v>
      </c>
    </row>
    <row r="8" customFormat="false" ht="15" hidden="false" customHeight="false" outlineLevel="0" collapsed="false">
      <c r="B8" s="16" t="s">
        <v>143</v>
      </c>
      <c r="C8" s="16" t="s">
        <v>144</v>
      </c>
      <c r="D8" s="16" t="s">
        <v>145</v>
      </c>
    </row>
    <row r="9" customFormat="false" ht="15" hidden="false" customHeight="false" outlineLevel="0" collapsed="false">
      <c r="B9" s="16" t="s">
        <v>146</v>
      </c>
      <c r="C9" s="16" t="s">
        <v>147</v>
      </c>
      <c r="D9" s="16" t="s">
        <v>148</v>
      </c>
    </row>
    <row r="10" customFormat="false" ht="15" hidden="false" customHeight="false" outlineLevel="0" collapsed="false">
      <c r="B10" s="16" t="s">
        <v>149</v>
      </c>
      <c r="C10" s="16" t="s">
        <v>150</v>
      </c>
      <c r="D10" s="16" t="s">
        <v>151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24"/>
  </cols>
  <sheetData>
    <row r="1" customFormat="false" ht="24" hidden="false" customHeight="true" outlineLevel="0" collapsed="false">
      <c r="A1" s="4" t="s">
        <v>2</v>
      </c>
      <c r="B1" s="4" t="s">
        <v>152</v>
      </c>
      <c r="C1" s="4" t="s">
        <v>153</v>
      </c>
      <c r="D1" s="4" t="s">
        <v>154</v>
      </c>
      <c r="E1" s="4" t="s">
        <v>155</v>
      </c>
      <c r="F1" s="4" t="s">
        <v>156</v>
      </c>
      <c r="G1" s="4" t="s">
        <v>157</v>
      </c>
      <c r="H1" s="4" t="s">
        <v>158</v>
      </c>
      <c r="I1" s="4" t="s">
        <v>159</v>
      </c>
      <c r="J1" s="4" t="s">
        <v>160</v>
      </c>
      <c r="K1" s="4" t="s">
        <v>161</v>
      </c>
      <c r="L1" s="4" t="s">
        <v>162</v>
      </c>
      <c r="M1" s="4" t="s">
        <v>163</v>
      </c>
      <c r="N1" s="4" t="s">
        <v>164</v>
      </c>
    </row>
    <row r="2" customFormat="false" ht="90.75" hidden="false" customHeight="true" outlineLevel="0" collapsed="false">
      <c r="A2" s="21" t="s">
        <v>10</v>
      </c>
      <c r="B2" s="21" t="s">
        <v>165</v>
      </c>
      <c r="C2" s="22" t="s">
        <v>166</v>
      </c>
      <c r="D2" s="22" t="s">
        <v>167</v>
      </c>
      <c r="E2" s="22" t="s">
        <v>168</v>
      </c>
      <c r="F2" s="22" t="s">
        <v>169</v>
      </c>
      <c r="G2" s="22" t="s">
        <v>170</v>
      </c>
      <c r="H2" s="22" t="s">
        <v>171</v>
      </c>
      <c r="I2" s="22" t="s">
        <v>172</v>
      </c>
      <c r="J2" s="22" t="s">
        <v>173</v>
      </c>
      <c r="K2" s="22"/>
      <c r="L2" s="22"/>
      <c r="M2" s="23"/>
      <c r="N2" s="22"/>
    </row>
    <row r="3" customFormat="false" ht="34.5" hidden="false" customHeight="true" outlineLevel="0" collapsed="false">
      <c r="A3" s="21" t="s">
        <v>10</v>
      </c>
      <c r="B3" s="21" t="s">
        <v>174</v>
      </c>
      <c r="C3" s="22" t="s">
        <v>175</v>
      </c>
      <c r="D3" s="22" t="s">
        <v>167</v>
      </c>
      <c r="E3" s="22" t="s">
        <v>176</v>
      </c>
      <c r="F3" s="22" t="s">
        <v>177</v>
      </c>
      <c r="G3" s="22" t="s">
        <v>178</v>
      </c>
      <c r="H3" s="22" t="s">
        <v>179</v>
      </c>
      <c r="I3" s="22" t="s">
        <v>180</v>
      </c>
      <c r="J3" s="22" t="s">
        <v>181</v>
      </c>
      <c r="K3" s="22"/>
      <c r="L3" s="22"/>
      <c r="M3" s="23"/>
      <c r="N3" s="22"/>
    </row>
    <row r="4" customFormat="false" ht="45.75" hidden="false" customHeight="true" outlineLevel="0" collapsed="false">
      <c r="A4" s="21" t="s">
        <v>10</v>
      </c>
      <c r="B4" s="21" t="s">
        <v>182</v>
      </c>
      <c r="C4" s="22" t="s">
        <v>183</v>
      </c>
      <c r="D4" s="22" t="s">
        <v>167</v>
      </c>
      <c r="E4" s="22" t="s">
        <v>176</v>
      </c>
      <c r="F4" s="22" t="s">
        <v>184</v>
      </c>
      <c r="G4" s="22" t="s">
        <v>185</v>
      </c>
      <c r="H4" s="22" t="s">
        <v>186</v>
      </c>
      <c r="I4" s="22" t="s">
        <v>187</v>
      </c>
      <c r="J4" s="22" t="s">
        <v>188</v>
      </c>
      <c r="K4" s="22"/>
      <c r="L4" s="22"/>
      <c r="M4" s="23"/>
      <c r="N4" s="22"/>
    </row>
    <row r="5" customFormat="false" ht="34.5" hidden="false" customHeight="true" outlineLevel="0" collapsed="false">
      <c r="A5" s="21" t="s">
        <v>10</v>
      </c>
      <c r="B5" s="21" t="s">
        <v>189</v>
      </c>
      <c r="C5" s="22" t="s">
        <v>190</v>
      </c>
      <c r="D5" s="22" t="s">
        <v>191</v>
      </c>
      <c r="E5" s="22" t="s">
        <v>176</v>
      </c>
      <c r="F5" s="22" t="s">
        <v>192</v>
      </c>
      <c r="G5" s="22" t="s">
        <v>193</v>
      </c>
      <c r="H5" s="22" t="s">
        <v>194</v>
      </c>
      <c r="I5" s="22" t="s">
        <v>195</v>
      </c>
      <c r="J5" s="22" t="s">
        <v>196</v>
      </c>
      <c r="K5" s="22"/>
      <c r="L5" s="22"/>
      <c r="M5" s="23"/>
      <c r="N5" s="22"/>
    </row>
    <row r="6" customFormat="false" ht="68.25" hidden="false" customHeight="true" outlineLevel="0" collapsed="false">
      <c r="A6" s="24" t="s">
        <v>12</v>
      </c>
      <c r="B6" s="24" t="s">
        <v>197</v>
      </c>
      <c r="C6" s="22" t="s">
        <v>198</v>
      </c>
      <c r="D6" s="22" t="s">
        <v>167</v>
      </c>
      <c r="E6" s="22" t="s">
        <v>168</v>
      </c>
      <c r="F6" s="22" t="s">
        <v>177</v>
      </c>
      <c r="G6" s="22" t="s">
        <v>199</v>
      </c>
      <c r="H6" s="22" t="s">
        <v>200</v>
      </c>
      <c r="I6" s="22" t="s">
        <v>201</v>
      </c>
      <c r="J6" s="22" t="s">
        <v>202</v>
      </c>
      <c r="K6" s="22"/>
      <c r="L6" s="22"/>
      <c r="M6" s="23"/>
      <c r="N6" s="22"/>
    </row>
    <row r="7" customFormat="false" ht="45.75" hidden="false" customHeight="true" outlineLevel="0" collapsed="false">
      <c r="A7" s="24" t="s">
        <v>12</v>
      </c>
      <c r="B7" s="24" t="s">
        <v>203</v>
      </c>
      <c r="C7" s="22" t="s">
        <v>204</v>
      </c>
      <c r="D7" s="22" t="s">
        <v>167</v>
      </c>
      <c r="E7" s="22" t="s">
        <v>168</v>
      </c>
      <c r="F7" s="22" t="s">
        <v>205</v>
      </c>
      <c r="G7" s="22" t="s">
        <v>206</v>
      </c>
      <c r="H7" s="22" t="s">
        <v>207</v>
      </c>
      <c r="I7" s="22" t="s">
        <v>208</v>
      </c>
      <c r="J7" s="22" t="s">
        <v>209</v>
      </c>
      <c r="K7" s="22"/>
      <c r="L7" s="22"/>
      <c r="M7" s="23"/>
      <c r="N7" s="22"/>
    </row>
    <row r="8" customFormat="false" ht="45.75" hidden="false" customHeight="true" outlineLevel="0" collapsed="false">
      <c r="A8" s="24" t="s">
        <v>12</v>
      </c>
      <c r="B8" s="24" t="s">
        <v>210</v>
      </c>
      <c r="C8" s="22" t="s">
        <v>211</v>
      </c>
      <c r="D8" s="22" t="s">
        <v>167</v>
      </c>
      <c r="E8" s="22" t="s">
        <v>168</v>
      </c>
      <c r="F8" s="22" t="s">
        <v>177</v>
      </c>
      <c r="G8" s="22" t="s">
        <v>212</v>
      </c>
      <c r="H8" s="22" t="s">
        <v>213</v>
      </c>
      <c r="I8" s="22" t="s">
        <v>214</v>
      </c>
      <c r="J8" s="22" t="s">
        <v>215</v>
      </c>
      <c r="K8" s="22"/>
      <c r="L8" s="22"/>
      <c r="M8" s="23"/>
      <c r="N8" s="22"/>
    </row>
    <row r="9" customFormat="false" ht="68.25" hidden="false" customHeight="true" outlineLevel="0" collapsed="false">
      <c r="A9" s="24" t="s">
        <v>12</v>
      </c>
      <c r="B9" s="24" t="s">
        <v>216</v>
      </c>
      <c r="C9" s="22" t="s">
        <v>217</v>
      </c>
      <c r="D9" s="22" t="s">
        <v>167</v>
      </c>
      <c r="E9" s="22" t="s">
        <v>168</v>
      </c>
      <c r="F9" s="22" t="s">
        <v>177</v>
      </c>
      <c r="G9" s="22" t="s">
        <v>218</v>
      </c>
      <c r="H9" s="22" t="s">
        <v>219</v>
      </c>
      <c r="I9" s="22" t="s">
        <v>220</v>
      </c>
      <c r="J9" s="22" t="s">
        <v>221</v>
      </c>
      <c r="K9" s="22"/>
      <c r="L9" s="22"/>
      <c r="M9" s="23"/>
      <c r="N9" s="22"/>
    </row>
    <row r="10" customFormat="false" ht="34.5" hidden="false" customHeight="true" outlineLevel="0" collapsed="false">
      <c r="A10" s="24" t="s">
        <v>12</v>
      </c>
      <c r="B10" s="24" t="s">
        <v>222</v>
      </c>
      <c r="C10" s="22" t="s">
        <v>223</v>
      </c>
      <c r="D10" s="22" t="s">
        <v>167</v>
      </c>
      <c r="E10" s="22" t="s">
        <v>168</v>
      </c>
      <c r="F10" s="22" t="s">
        <v>177</v>
      </c>
      <c r="G10" s="22" t="s">
        <v>224</v>
      </c>
      <c r="H10" s="22" t="s">
        <v>225</v>
      </c>
      <c r="I10" s="22" t="s">
        <v>226</v>
      </c>
      <c r="J10" s="22" t="s">
        <v>227</v>
      </c>
      <c r="K10" s="22"/>
      <c r="L10" s="22"/>
      <c r="M10" s="23"/>
      <c r="N10" s="22"/>
    </row>
    <row r="11" customFormat="false" ht="45.75" hidden="false" customHeight="true" outlineLevel="0" collapsed="false">
      <c r="A11" s="25" t="s">
        <v>14</v>
      </c>
      <c r="B11" s="25" t="s">
        <v>228</v>
      </c>
      <c r="C11" s="22" t="s">
        <v>229</v>
      </c>
      <c r="D11" s="22" t="s">
        <v>167</v>
      </c>
      <c r="E11" s="22" t="s">
        <v>176</v>
      </c>
      <c r="F11" s="22" t="s">
        <v>177</v>
      </c>
      <c r="G11" s="22" t="s">
        <v>230</v>
      </c>
      <c r="H11" s="22" t="s">
        <v>231</v>
      </c>
      <c r="I11" s="22" t="s">
        <v>232</v>
      </c>
      <c r="J11" s="22" t="s">
        <v>233</v>
      </c>
      <c r="K11" s="22"/>
      <c r="L11" s="22"/>
      <c r="M11" s="23"/>
      <c r="N11" s="22"/>
    </row>
    <row r="12" customFormat="false" ht="68.25" hidden="false" customHeight="true" outlineLevel="0" collapsed="false">
      <c r="A12" s="25" t="s">
        <v>14</v>
      </c>
      <c r="B12" s="25" t="s">
        <v>234</v>
      </c>
      <c r="C12" s="22" t="s">
        <v>235</v>
      </c>
      <c r="D12" s="22" t="s">
        <v>167</v>
      </c>
      <c r="E12" s="22" t="s">
        <v>176</v>
      </c>
      <c r="F12" s="22" t="s">
        <v>177</v>
      </c>
      <c r="G12" s="22" t="s">
        <v>236</v>
      </c>
      <c r="H12" s="22" t="s">
        <v>237</v>
      </c>
      <c r="I12" s="22" t="s">
        <v>238</v>
      </c>
      <c r="J12" s="22" t="s">
        <v>239</v>
      </c>
      <c r="K12" s="22"/>
      <c r="L12" s="22"/>
      <c r="M12" s="23"/>
      <c r="N12" s="22"/>
    </row>
    <row r="13" customFormat="false" ht="23.25" hidden="false" customHeight="true" outlineLevel="0" collapsed="false">
      <c r="A13" s="25" t="s">
        <v>14</v>
      </c>
      <c r="B13" s="25" t="s">
        <v>240</v>
      </c>
      <c r="C13" s="22" t="s">
        <v>241</v>
      </c>
      <c r="D13" s="22" t="s">
        <v>191</v>
      </c>
      <c r="E13" s="22" t="s">
        <v>176</v>
      </c>
      <c r="F13" s="22" t="s">
        <v>242</v>
      </c>
      <c r="G13" s="22" t="s">
        <v>243</v>
      </c>
      <c r="H13" s="22" t="s">
        <v>244</v>
      </c>
      <c r="I13" s="22" t="s">
        <v>245</v>
      </c>
      <c r="J13" s="22" t="s">
        <v>246</v>
      </c>
      <c r="K13" s="22"/>
      <c r="L13" s="22"/>
      <c r="M13" s="23"/>
      <c r="N13" s="22"/>
    </row>
    <row r="14" customFormat="false" ht="23.25" hidden="false" customHeight="true" outlineLevel="0" collapsed="false">
      <c r="A14" s="25" t="s">
        <v>14</v>
      </c>
      <c r="B14" s="25" t="s">
        <v>247</v>
      </c>
      <c r="C14" s="22" t="s">
        <v>248</v>
      </c>
      <c r="D14" s="22" t="s">
        <v>167</v>
      </c>
      <c r="E14" s="22" t="s">
        <v>176</v>
      </c>
      <c r="F14" s="22" t="s">
        <v>249</v>
      </c>
      <c r="G14" s="22" t="s">
        <v>250</v>
      </c>
      <c r="H14" s="22" t="s">
        <v>251</v>
      </c>
      <c r="I14" s="22" t="s">
        <v>252</v>
      </c>
      <c r="J14" s="22" t="s">
        <v>253</v>
      </c>
      <c r="K14" s="22"/>
      <c r="L14" s="22"/>
      <c r="M14" s="23"/>
      <c r="N14" s="22"/>
    </row>
    <row r="15" customFormat="false" ht="23.25" hidden="false" customHeight="true" outlineLevel="0" collapsed="false">
      <c r="A15" s="25" t="s">
        <v>14</v>
      </c>
      <c r="B15" s="25" t="s">
        <v>254</v>
      </c>
      <c r="C15" s="22" t="s">
        <v>255</v>
      </c>
      <c r="D15" s="22" t="s">
        <v>167</v>
      </c>
      <c r="E15" s="22" t="s">
        <v>176</v>
      </c>
      <c r="F15" s="22" t="s">
        <v>177</v>
      </c>
      <c r="G15" s="22" t="s">
        <v>256</v>
      </c>
      <c r="H15" s="22" t="s">
        <v>257</v>
      </c>
      <c r="I15" s="22" t="s">
        <v>258</v>
      </c>
      <c r="J15" s="22" t="s">
        <v>259</v>
      </c>
      <c r="K15" s="22"/>
      <c r="L15" s="22"/>
      <c r="M15" s="23"/>
      <c r="N15" s="22"/>
    </row>
    <row r="16" customFormat="false" ht="90.75" hidden="false" customHeight="true" outlineLevel="0" collapsed="false">
      <c r="A16" s="26" t="s">
        <v>16</v>
      </c>
      <c r="B16" s="26" t="s">
        <v>260</v>
      </c>
      <c r="C16" s="22" t="s">
        <v>261</v>
      </c>
      <c r="D16" s="22" t="s">
        <v>167</v>
      </c>
      <c r="E16" s="22" t="s">
        <v>262</v>
      </c>
      <c r="F16" s="22" t="s">
        <v>263</v>
      </c>
      <c r="G16" s="22" t="s">
        <v>264</v>
      </c>
      <c r="H16" s="22" t="s">
        <v>265</v>
      </c>
      <c r="I16" s="22" t="s">
        <v>266</v>
      </c>
      <c r="J16" s="22" t="s">
        <v>267</v>
      </c>
      <c r="K16" s="22"/>
      <c r="L16" s="22"/>
      <c r="M16" s="23"/>
      <c r="N16" s="22"/>
    </row>
    <row r="17" customFormat="false" ht="45.75" hidden="false" customHeight="true" outlineLevel="0" collapsed="false">
      <c r="A17" s="26" t="s">
        <v>16</v>
      </c>
      <c r="B17" s="26" t="s">
        <v>268</v>
      </c>
      <c r="C17" s="22" t="s">
        <v>269</v>
      </c>
      <c r="D17" s="22" t="s">
        <v>167</v>
      </c>
      <c r="E17" s="22" t="s">
        <v>262</v>
      </c>
      <c r="F17" s="22" t="s">
        <v>177</v>
      </c>
      <c r="G17" s="22" t="s">
        <v>270</v>
      </c>
      <c r="H17" s="22" t="s">
        <v>271</v>
      </c>
      <c r="I17" s="22" t="s">
        <v>272</v>
      </c>
      <c r="J17" s="22" t="s">
        <v>273</v>
      </c>
      <c r="K17" s="22"/>
      <c r="L17" s="22"/>
      <c r="M17" s="23"/>
      <c r="N17" s="22"/>
    </row>
    <row r="18" customFormat="false" ht="34.5" hidden="false" customHeight="true" outlineLevel="0" collapsed="false">
      <c r="A18" s="26" t="s">
        <v>16</v>
      </c>
      <c r="B18" s="26" t="s">
        <v>274</v>
      </c>
      <c r="C18" s="22" t="s">
        <v>275</v>
      </c>
      <c r="D18" s="22" t="s">
        <v>167</v>
      </c>
      <c r="E18" s="22" t="s">
        <v>262</v>
      </c>
      <c r="F18" s="22" t="s">
        <v>177</v>
      </c>
      <c r="G18" s="22" t="s">
        <v>276</v>
      </c>
      <c r="H18" s="22" t="s">
        <v>277</v>
      </c>
      <c r="I18" s="22" t="s">
        <v>278</v>
      </c>
      <c r="J18" s="22" t="s">
        <v>279</v>
      </c>
      <c r="K18" s="22"/>
      <c r="L18" s="22"/>
      <c r="M18" s="23"/>
      <c r="N18" s="22"/>
    </row>
    <row r="19" customFormat="false" ht="23.25" hidden="false" customHeight="true" outlineLevel="0" collapsed="false">
      <c r="A19" s="26" t="s">
        <v>16</v>
      </c>
      <c r="B19" s="26" t="s">
        <v>280</v>
      </c>
      <c r="C19" s="22" t="s">
        <v>106</v>
      </c>
      <c r="D19" s="22" t="s">
        <v>167</v>
      </c>
      <c r="E19" s="22" t="s">
        <v>262</v>
      </c>
      <c r="F19" s="22" t="s">
        <v>177</v>
      </c>
      <c r="G19" s="22" t="s">
        <v>281</v>
      </c>
      <c r="H19" s="22" t="s">
        <v>282</v>
      </c>
      <c r="I19" s="22" t="s">
        <v>283</v>
      </c>
      <c r="J19" s="22" t="s">
        <v>202</v>
      </c>
      <c r="K19" s="22"/>
      <c r="L19" s="22"/>
      <c r="M19" s="23"/>
      <c r="N19" s="22"/>
    </row>
    <row r="20" customFormat="false" ht="23.25" hidden="false" customHeight="true" outlineLevel="0" collapsed="false">
      <c r="A20" s="26" t="s">
        <v>16</v>
      </c>
      <c r="B20" s="26" t="s">
        <v>284</v>
      </c>
      <c r="C20" s="22" t="s">
        <v>285</v>
      </c>
      <c r="D20" s="22" t="s">
        <v>167</v>
      </c>
      <c r="E20" s="22" t="s">
        <v>262</v>
      </c>
      <c r="F20" s="22" t="s">
        <v>177</v>
      </c>
      <c r="G20" s="22" t="s">
        <v>286</v>
      </c>
      <c r="H20" s="22" t="s">
        <v>287</v>
      </c>
      <c r="I20" s="22" t="s">
        <v>288</v>
      </c>
      <c r="J20" s="22" t="s">
        <v>181</v>
      </c>
      <c r="K20" s="22"/>
      <c r="L20" s="22"/>
      <c r="M20" s="23"/>
      <c r="N20" s="22"/>
    </row>
    <row r="21" customFormat="false" ht="34.5" hidden="false" customHeight="true" outlineLevel="0" collapsed="false">
      <c r="A21" s="26" t="s">
        <v>16</v>
      </c>
      <c r="B21" s="26" t="s">
        <v>289</v>
      </c>
      <c r="C21" s="22" t="s">
        <v>290</v>
      </c>
      <c r="D21" s="22" t="s">
        <v>167</v>
      </c>
      <c r="E21" s="22" t="s">
        <v>262</v>
      </c>
      <c r="F21" s="22" t="s">
        <v>177</v>
      </c>
      <c r="G21" s="22" t="s">
        <v>291</v>
      </c>
      <c r="H21" s="22" t="s">
        <v>292</v>
      </c>
      <c r="I21" s="22" t="s">
        <v>293</v>
      </c>
      <c r="J21" s="22" t="s">
        <v>294</v>
      </c>
      <c r="K21" s="22"/>
      <c r="L21" s="22"/>
      <c r="M21" s="23"/>
      <c r="N21" s="22"/>
    </row>
    <row r="22" customFormat="false" ht="23.25" hidden="false" customHeight="true" outlineLevel="0" collapsed="false">
      <c r="A22" s="26" t="s">
        <v>16</v>
      </c>
      <c r="B22" s="26" t="s">
        <v>295</v>
      </c>
      <c r="C22" s="22" t="s">
        <v>113</v>
      </c>
      <c r="D22" s="22" t="s">
        <v>167</v>
      </c>
      <c r="E22" s="22" t="s">
        <v>262</v>
      </c>
      <c r="F22" s="22" t="s">
        <v>177</v>
      </c>
      <c r="G22" s="22" t="s">
        <v>296</v>
      </c>
      <c r="H22" s="22" t="s">
        <v>297</v>
      </c>
      <c r="I22" s="22" t="s">
        <v>298</v>
      </c>
      <c r="J22" s="22" t="s">
        <v>273</v>
      </c>
      <c r="K22" s="22"/>
      <c r="L22" s="22"/>
      <c r="M22" s="23"/>
      <c r="N22" s="22"/>
    </row>
    <row r="23" customFormat="false" ht="45.75" hidden="false" customHeight="true" outlineLevel="0" collapsed="false">
      <c r="A23" s="26" t="s">
        <v>16</v>
      </c>
      <c r="B23" s="26" t="s">
        <v>299</v>
      </c>
      <c r="C23" s="22" t="s">
        <v>300</v>
      </c>
      <c r="D23" s="22" t="s">
        <v>167</v>
      </c>
      <c r="E23" s="22" t="s">
        <v>262</v>
      </c>
      <c r="F23" s="22" t="s">
        <v>177</v>
      </c>
      <c r="G23" s="22" t="s">
        <v>301</v>
      </c>
      <c r="H23" s="22" t="s">
        <v>302</v>
      </c>
      <c r="I23" s="22" t="s">
        <v>303</v>
      </c>
      <c r="J23" s="22" t="s">
        <v>304</v>
      </c>
      <c r="K23" s="22"/>
      <c r="L23" s="22"/>
      <c r="M23" s="23"/>
      <c r="N23" s="22"/>
    </row>
    <row r="24" customFormat="false" ht="45.75" hidden="false" customHeight="true" outlineLevel="0" collapsed="false">
      <c r="A24" s="26" t="s">
        <v>16</v>
      </c>
      <c r="B24" s="26" t="s">
        <v>305</v>
      </c>
      <c r="C24" s="22" t="s">
        <v>306</v>
      </c>
      <c r="D24" s="22" t="s">
        <v>167</v>
      </c>
      <c r="E24" s="22" t="s">
        <v>262</v>
      </c>
      <c r="F24" s="22" t="s">
        <v>307</v>
      </c>
      <c r="G24" s="22" t="s">
        <v>308</v>
      </c>
      <c r="H24" s="22" t="s">
        <v>309</v>
      </c>
      <c r="I24" s="22" t="s">
        <v>310</v>
      </c>
      <c r="J24" s="22" t="s">
        <v>311</v>
      </c>
      <c r="K24" s="22"/>
      <c r="L24" s="22"/>
      <c r="M24" s="23"/>
      <c r="N24" s="22"/>
    </row>
    <row r="25" customFormat="false" ht="23.25" hidden="false" customHeight="true" outlineLevel="0" collapsed="false">
      <c r="A25" s="26" t="s">
        <v>16</v>
      </c>
      <c r="B25" s="26" t="s">
        <v>312</v>
      </c>
      <c r="C25" s="22" t="s">
        <v>313</v>
      </c>
      <c r="D25" s="22" t="s">
        <v>167</v>
      </c>
      <c r="E25" s="22" t="s">
        <v>262</v>
      </c>
      <c r="F25" s="22" t="s">
        <v>314</v>
      </c>
      <c r="G25" s="22" t="s">
        <v>315</v>
      </c>
      <c r="H25" s="22" t="s">
        <v>316</v>
      </c>
      <c r="I25" s="22" t="s">
        <v>317</v>
      </c>
      <c r="J25" s="22" t="s">
        <v>318</v>
      </c>
      <c r="K25" s="22"/>
      <c r="L25" s="22"/>
      <c r="M25" s="23"/>
      <c r="N25" s="22"/>
    </row>
    <row r="26" customFormat="false" ht="23.25" hidden="false" customHeight="true" outlineLevel="0" collapsed="false">
      <c r="A26" s="27" t="s">
        <v>18</v>
      </c>
      <c r="B26" s="27" t="s">
        <v>319</v>
      </c>
      <c r="C26" s="22" t="s">
        <v>320</v>
      </c>
      <c r="D26" s="22" t="s">
        <v>167</v>
      </c>
      <c r="E26" s="22" t="s">
        <v>321</v>
      </c>
      <c r="F26" s="22" t="s">
        <v>322</v>
      </c>
      <c r="G26" s="22" t="s">
        <v>323</v>
      </c>
      <c r="H26" s="22" t="s">
        <v>324</v>
      </c>
      <c r="I26" s="22" t="s">
        <v>325</v>
      </c>
      <c r="J26" s="22" t="s">
        <v>173</v>
      </c>
      <c r="K26" s="22"/>
      <c r="L26" s="22"/>
      <c r="M26" s="23"/>
      <c r="N26" s="22"/>
    </row>
    <row r="27" customFormat="false" ht="23.25" hidden="false" customHeight="true" outlineLevel="0" collapsed="false">
      <c r="A27" s="27" t="s">
        <v>18</v>
      </c>
      <c r="B27" s="27" t="s">
        <v>326</v>
      </c>
      <c r="C27" s="22" t="s">
        <v>327</v>
      </c>
      <c r="D27" s="22" t="s">
        <v>167</v>
      </c>
      <c r="E27" s="22" t="s">
        <v>321</v>
      </c>
      <c r="F27" s="22" t="s">
        <v>328</v>
      </c>
      <c r="G27" s="22" t="s">
        <v>329</v>
      </c>
      <c r="H27" s="22" t="s">
        <v>330</v>
      </c>
      <c r="I27" s="22" t="s">
        <v>331</v>
      </c>
      <c r="J27" s="22" t="s">
        <v>173</v>
      </c>
      <c r="K27" s="22"/>
      <c r="L27" s="22"/>
      <c r="M27" s="23"/>
      <c r="N27" s="22"/>
    </row>
    <row r="28" customFormat="false" ht="34.5" hidden="false" customHeight="true" outlineLevel="0" collapsed="false">
      <c r="A28" s="27" t="s">
        <v>18</v>
      </c>
      <c r="B28" s="27" t="s">
        <v>332</v>
      </c>
      <c r="C28" s="22" t="s">
        <v>333</v>
      </c>
      <c r="D28" s="22" t="s">
        <v>167</v>
      </c>
      <c r="E28" s="22" t="s">
        <v>321</v>
      </c>
      <c r="F28" s="22" t="s">
        <v>334</v>
      </c>
      <c r="G28" s="22" t="s">
        <v>335</v>
      </c>
      <c r="H28" s="22" t="s">
        <v>336</v>
      </c>
      <c r="I28" s="22" t="s">
        <v>337</v>
      </c>
      <c r="J28" s="22" t="s">
        <v>338</v>
      </c>
      <c r="K28" s="22"/>
      <c r="L28" s="22"/>
      <c r="M28" s="23"/>
      <c r="N28" s="22"/>
    </row>
    <row r="29" customFormat="false" ht="15" hidden="false" customHeight="true" outlineLevel="0" collapsed="false">
      <c r="A29" s="27" t="s">
        <v>18</v>
      </c>
      <c r="B29" s="27" t="s">
        <v>339</v>
      </c>
      <c r="C29" s="22" t="s">
        <v>340</v>
      </c>
      <c r="D29" s="22" t="s">
        <v>167</v>
      </c>
      <c r="E29" s="22" t="s">
        <v>321</v>
      </c>
      <c r="F29" s="22" t="s">
        <v>177</v>
      </c>
      <c r="G29" s="22" t="s">
        <v>341</v>
      </c>
      <c r="H29" s="22" t="s">
        <v>342</v>
      </c>
      <c r="I29" s="22" t="s">
        <v>343</v>
      </c>
      <c r="J29" s="22" t="s">
        <v>344</v>
      </c>
      <c r="K29" s="22"/>
      <c r="L29" s="22"/>
      <c r="M29" s="23"/>
      <c r="N29" s="22"/>
    </row>
    <row r="30" customFormat="false" ht="79.5" hidden="false" customHeight="true" outlineLevel="0" collapsed="false">
      <c r="A30" s="27" t="s">
        <v>18</v>
      </c>
      <c r="B30" s="27" t="s">
        <v>345</v>
      </c>
      <c r="C30" s="22" t="s">
        <v>346</v>
      </c>
      <c r="D30" s="22" t="s">
        <v>191</v>
      </c>
      <c r="E30" s="22" t="s">
        <v>321</v>
      </c>
      <c r="F30" s="22" t="s">
        <v>347</v>
      </c>
      <c r="G30" s="22" t="s">
        <v>348</v>
      </c>
      <c r="H30" s="22" t="s">
        <v>349</v>
      </c>
      <c r="I30" s="22" t="s">
        <v>350</v>
      </c>
      <c r="J30" s="22" t="s">
        <v>351</v>
      </c>
      <c r="K30" s="22"/>
      <c r="L30" s="22"/>
      <c r="M30" s="23"/>
      <c r="N30" s="22"/>
    </row>
    <row r="31" customFormat="false" ht="23.25" hidden="false" customHeight="true" outlineLevel="0" collapsed="false">
      <c r="A31" s="27" t="s">
        <v>18</v>
      </c>
      <c r="B31" s="27" t="s">
        <v>352</v>
      </c>
      <c r="C31" s="22" t="s">
        <v>353</v>
      </c>
      <c r="D31" s="22" t="s">
        <v>167</v>
      </c>
      <c r="E31" s="22" t="s">
        <v>321</v>
      </c>
      <c r="F31" s="22" t="s">
        <v>177</v>
      </c>
      <c r="G31" s="22" t="s">
        <v>354</v>
      </c>
      <c r="H31" s="22" t="s">
        <v>355</v>
      </c>
      <c r="I31" s="22" t="s">
        <v>356</v>
      </c>
      <c r="J31" s="22" t="s">
        <v>227</v>
      </c>
      <c r="K31" s="22"/>
      <c r="L31" s="22"/>
      <c r="M31" s="23"/>
      <c r="N31" s="22"/>
    </row>
    <row r="32" customFormat="false" ht="23.25" hidden="false" customHeight="true" outlineLevel="0" collapsed="false">
      <c r="A32" s="28" t="s">
        <v>20</v>
      </c>
      <c r="B32" s="28" t="s">
        <v>357</v>
      </c>
      <c r="C32" s="22" t="s">
        <v>358</v>
      </c>
      <c r="D32" s="22" t="s">
        <v>191</v>
      </c>
      <c r="E32" s="22" t="s">
        <v>359</v>
      </c>
      <c r="F32" s="22" t="s">
        <v>177</v>
      </c>
      <c r="G32" s="22" t="s">
        <v>360</v>
      </c>
      <c r="H32" s="22" t="s">
        <v>361</v>
      </c>
      <c r="I32" s="22" t="s">
        <v>362</v>
      </c>
      <c r="J32" s="22" t="s">
        <v>363</v>
      </c>
      <c r="K32" s="22"/>
      <c r="L32" s="22"/>
      <c r="M32" s="23"/>
      <c r="N32" s="22"/>
    </row>
    <row r="33" customFormat="false" ht="34.5" hidden="false" customHeight="true" outlineLevel="0" collapsed="false">
      <c r="A33" s="28" t="s">
        <v>20</v>
      </c>
      <c r="B33" s="28" t="s">
        <v>364</v>
      </c>
      <c r="C33" s="22" t="s">
        <v>365</v>
      </c>
      <c r="D33" s="22" t="s">
        <v>191</v>
      </c>
      <c r="E33" s="22" t="s">
        <v>359</v>
      </c>
      <c r="F33" s="22" t="s">
        <v>177</v>
      </c>
      <c r="G33" s="22" t="s">
        <v>366</v>
      </c>
      <c r="H33" s="22" t="s">
        <v>367</v>
      </c>
      <c r="I33" s="22" t="s">
        <v>368</v>
      </c>
      <c r="J33" s="22" t="s">
        <v>369</v>
      </c>
      <c r="K33" s="22"/>
      <c r="L33" s="22"/>
      <c r="M33" s="23"/>
      <c r="N33" s="22"/>
    </row>
    <row r="34" customFormat="false" ht="15" hidden="false" customHeight="true" outlineLevel="0" collapsed="false">
      <c r="A34" s="28" t="s">
        <v>20</v>
      </c>
      <c r="B34" s="28" t="s">
        <v>370</v>
      </c>
      <c r="C34" s="22" t="s">
        <v>371</v>
      </c>
      <c r="D34" s="22" t="s">
        <v>191</v>
      </c>
      <c r="E34" s="22" t="s">
        <v>359</v>
      </c>
      <c r="F34" s="22" t="s">
        <v>177</v>
      </c>
      <c r="G34" s="22" t="s">
        <v>372</v>
      </c>
      <c r="H34" s="22" t="s">
        <v>373</v>
      </c>
      <c r="I34" s="22" t="s">
        <v>374</v>
      </c>
      <c r="J34" s="22" t="s">
        <v>227</v>
      </c>
      <c r="K34" s="22"/>
      <c r="L34" s="22"/>
      <c r="M34" s="23"/>
      <c r="N34" s="22"/>
    </row>
    <row r="35" customFormat="false" ht="23.25" hidden="false" customHeight="true" outlineLevel="0" collapsed="false">
      <c r="A35" s="28" t="s">
        <v>20</v>
      </c>
      <c r="B35" s="28" t="s">
        <v>375</v>
      </c>
      <c r="C35" s="22" t="s">
        <v>376</v>
      </c>
      <c r="D35" s="22" t="s">
        <v>191</v>
      </c>
      <c r="E35" s="22" t="s">
        <v>359</v>
      </c>
      <c r="F35" s="22" t="s">
        <v>377</v>
      </c>
      <c r="G35" s="22" t="s">
        <v>378</v>
      </c>
      <c r="H35" s="22" t="s">
        <v>379</v>
      </c>
      <c r="I35" s="22" t="s">
        <v>380</v>
      </c>
      <c r="J35" s="22" t="s">
        <v>381</v>
      </c>
      <c r="K35" s="22"/>
      <c r="L35" s="22"/>
      <c r="M35" s="23"/>
      <c r="N35" s="22"/>
    </row>
    <row r="36" customFormat="false" ht="34.5" hidden="false" customHeight="true" outlineLevel="0" collapsed="false">
      <c r="A36" s="28" t="s">
        <v>20</v>
      </c>
      <c r="B36" s="28" t="s">
        <v>382</v>
      </c>
      <c r="C36" s="22" t="s">
        <v>383</v>
      </c>
      <c r="D36" s="22" t="s">
        <v>191</v>
      </c>
      <c r="E36" s="22" t="s">
        <v>359</v>
      </c>
      <c r="F36" s="22" t="s">
        <v>384</v>
      </c>
      <c r="G36" s="22" t="s">
        <v>385</v>
      </c>
      <c r="H36" s="22" t="s">
        <v>386</v>
      </c>
      <c r="I36" s="22" t="s">
        <v>387</v>
      </c>
      <c r="J36" s="22" t="s">
        <v>388</v>
      </c>
      <c r="K36" s="22"/>
      <c r="L36" s="22"/>
      <c r="M36" s="23"/>
      <c r="N36" s="22"/>
    </row>
    <row r="37" customFormat="false" ht="45.75" hidden="false" customHeight="true" outlineLevel="0" collapsed="false">
      <c r="A37" s="28" t="s">
        <v>20</v>
      </c>
      <c r="B37" s="28" t="s">
        <v>389</v>
      </c>
      <c r="C37" s="22" t="s">
        <v>390</v>
      </c>
      <c r="D37" s="22" t="s">
        <v>191</v>
      </c>
      <c r="E37" s="22" t="s">
        <v>359</v>
      </c>
      <c r="F37" s="22" t="s">
        <v>177</v>
      </c>
      <c r="G37" s="22" t="s">
        <v>391</v>
      </c>
      <c r="H37" s="22" t="s">
        <v>392</v>
      </c>
      <c r="I37" s="22" t="s">
        <v>393</v>
      </c>
      <c r="J37" s="22" t="s">
        <v>394</v>
      </c>
      <c r="K37" s="22"/>
      <c r="L37" s="22"/>
      <c r="M37" s="23"/>
      <c r="N37" s="22"/>
    </row>
    <row r="38" customFormat="false" ht="23.25" hidden="false" customHeight="true" outlineLevel="0" collapsed="false">
      <c r="A38" s="28" t="s">
        <v>20</v>
      </c>
      <c r="B38" s="28" t="s">
        <v>395</v>
      </c>
      <c r="C38" s="22" t="s">
        <v>396</v>
      </c>
      <c r="D38" s="22" t="s">
        <v>191</v>
      </c>
      <c r="E38" s="22" t="s">
        <v>359</v>
      </c>
      <c r="F38" s="22" t="s">
        <v>397</v>
      </c>
      <c r="G38" s="22" t="s">
        <v>398</v>
      </c>
      <c r="H38" s="22" t="s">
        <v>399</v>
      </c>
      <c r="I38" s="22" t="s">
        <v>400</v>
      </c>
      <c r="J38" s="22" t="s">
        <v>401</v>
      </c>
      <c r="K38" s="22"/>
      <c r="L38" s="22"/>
      <c r="M38" s="23"/>
      <c r="N38" s="22"/>
    </row>
    <row r="39" customFormat="false" ht="23.25" hidden="false" customHeight="true" outlineLevel="0" collapsed="false">
      <c r="A39" s="29" t="s">
        <v>22</v>
      </c>
      <c r="B39" s="29" t="s">
        <v>402</v>
      </c>
      <c r="C39" s="22" t="s">
        <v>403</v>
      </c>
      <c r="D39" s="22" t="s">
        <v>404</v>
      </c>
      <c r="E39" s="22" t="s">
        <v>405</v>
      </c>
      <c r="F39" s="22" t="s">
        <v>177</v>
      </c>
      <c r="G39" s="22" t="s">
        <v>406</v>
      </c>
      <c r="H39" s="22" t="s">
        <v>407</v>
      </c>
      <c r="I39" s="22" t="s">
        <v>408</v>
      </c>
      <c r="J39" s="22" t="s">
        <v>409</v>
      </c>
      <c r="K39" s="22"/>
      <c r="L39" s="22"/>
      <c r="M39" s="23"/>
      <c r="N39" s="22"/>
    </row>
    <row r="40" customFormat="false" ht="15" hidden="false" customHeight="true" outlineLevel="0" collapsed="false">
      <c r="A40" s="29" t="s">
        <v>22</v>
      </c>
      <c r="B40" s="29" t="s">
        <v>410</v>
      </c>
      <c r="C40" s="22" t="s">
        <v>411</v>
      </c>
      <c r="D40" s="22" t="s">
        <v>404</v>
      </c>
      <c r="E40" s="22" t="s">
        <v>405</v>
      </c>
      <c r="F40" s="22" t="s">
        <v>412</v>
      </c>
      <c r="G40" s="22" t="s">
        <v>413</v>
      </c>
      <c r="H40" s="22" t="s">
        <v>414</v>
      </c>
      <c r="I40" s="22" t="s">
        <v>415</v>
      </c>
      <c r="J40" s="22" t="s">
        <v>416</v>
      </c>
      <c r="K40" s="22"/>
      <c r="L40" s="22"/>
      <c r="M40" s="23"/>
      <c r="N40" s="22"/>
    </row>
    <row r="41" customFormat="false" ht="23.25" hidden="false" customHeight="true" outlineLevel="0" collapsed="false">
      <c r="A41" s="29" t="s">
        <v>22</v>
      </c>
      <c r="B41" s="29" t="s">
        <v>417</v>
      </c>
      <c r="C41" s="22" t="s">
        <v>418</v>
      </c>
      <c r="D41" s="22" t="s">
        <v>404</v>
      </c>
      <c r="E41" s="22" t="s">
        <v>405</v>
      </c>
      <c r="F41" s="22" t="s">
        <v>177</v>
      </c>
      <c r="G41" s="22" t="s">
        <v>419</v>
      </c>
      <c r="H41" s="22" t="s">
        <v>420</v>
      </c>
      <c r="I41" s="22" t="s">
        <v>421</v>
      </c>
      <c r="J41" s="22" t="s">
        <v>422</v>
      </c>
      <c r="K41" s="22"/>
      <c r="L41" s="22"/>
      <c r="M41" s="23"/>
      <c r="N41" s="22"/>
    </row>
    <row r="42" customFormat="false" ht="15" hidden="false" customHeight="true" outlineLevel="0" collapsed="false">
      <c r="A42" s="29" t="s">
        <v>22</v>
      </c>
      <c r="B42" s="29" t="s">
        <v>423</v>
      </c>
      <c r="C42" s="22" t="s">
        <v>424</v>
      </c>
      <c r="D42" s="22" t="s">
        <v>404</v>
      </c>
      <c r="E42" s="22" t="s">
        <v>405</v>
      </c>
      <c r="F42" s="22" t="s">
        <v>177</v>
      </c>
      <c r="G42" s="22" t="s">
        <v>425</v>
      </c>
      <c r="H42" s="22" t="s">
        <v>426</v>
      </c>
      <c r="I42" s="22" t="s">
        <v>427</v>
      </c>
      <c r="J42" s="22" t="s">
        <v>318</v>
      </c>
      <c r="K42" s="22"/>
      <c r="L42" s="22"/>
      <c r="M42" s="23"/>
      <c r="N42" s="22"/>
    </row>
    <row r="43" customFormat="false" ht="23.25" hidden="false" customHeight="true" outlineLevel="0" collapsed="false">
      <c r="A43" s="29" t="s">
        <v>22</v>
      </c>
      <c r="B43" s="29" t="s">
        <v>428</v>
      </c>
      <c r="C43" s="22" t="s">
        <v>429</v>
      </c>
      <c r="D43" s="22" t="s">
        <v>404</v>
      </c>
      <c r="E43" s="22" t="s">
        <v>405</v>
      </c>
      <c r="F43" s="22" t="s">
        <v>177</v>
      </c>
      <c r="G43" s="22" t="s">
        <v>430</v>
      </c>
      <c r="H43" s="22" t="s">
        <v>431</v>
      </c>
      <c r="I43" s="22" t="s">
        <v>432</v>
      </c>
      <c r="J43" s="22" t="s">
        <v>433</v>
      </c>
      <c r="K43" s="22"/>
      <c r="L43" s="22"/>
      <c r="M43" s="23"/>
      <c r="N43" s="22"/>
    </row>
    <row r="44" customFormat="false" ht="23.25" hidden="false" customHeight="true" outlineLevel="0" collapsed="false">
      <c r="A44" s="29" t="s">
        <v>22</v>
      </c>
      <c r="B44" s="29" t="s">
        <v>434</v>
      </c>
      <c r="C44" s="22" t="s">
        <v>435</v>
      </c>
      <c r="D44" s="22" t="s">
        <v>404</v>
      </c>
      <c r="E44" s="22" t="s">
        <v>405</v>
      </c>
      <c r="F44" s="22" t="s">
        <v>436</v>
      </c>
      <c r="G44" s="22" t="s">
        <v>437</v>
      </c>
      <c r="H44" s="22" t="s">
        <v>438</v>
      </c>
      <c r="I44" s="22" t="s">
        <v>439</v>
      </c>
      <c r="J44" s="22" t="s">
        <v>318</v>
      </c>
      <c r="K44" s="22"/>
      <c r="L44" s="22"/>
      <c r="M44" s="23"/>
      <c r="N44" s="22"/>
    </row>
    <row r="45" customFormat="false" ht="23.25" hidden="false" customHeight="true" outlineLevel="0" collapsed="false">
      <c r="A45" s="29" t="s">
        <v>22</v>
      </c>
      <c r="B45" s="29" t="s">
        <v>440</v>
      </c>
      <c r="C45" s="22" t="s">
        <v>441</v>
      </c>
      <c r="D45" s="22" t="s">
        <v>404</v>
      </c>
      <c r="E45" s="22" t="s">
        <v>405</v>
      </c>
      <c r="F45" s="22" t="s">
        <v>177</v>
      </c>
      <c r="G45" s="22" t="s">
        <v>442</v>
      </c>
      <c r="H45" s="22" t="s">
        <v>443</v>
      </c>
      <c r="I45" s="22" t="s">
        <v>444</v>
      </c>
      <c r="J45" s="22" t="s">
        <v>445</v>
      </c>
      <c r="K45" s="22"/>
      <c r="L45" s="22"/>
      <c r="M45" s="23"/>
      <c r="N45" s="22"/>
    </row>
    <row r="46" customFormat="false" ht="23.25" hidden="false" customHeight="true" outlineLevel="0" collapsed="false">
      <c r="A46" s="29" t="s">
        <v>22</v>
      </c>
      <c r="B46" s="29" t="s">
        <v>446</v>
      </c>
      <c r="C46" s="22" t="s">
        <v>447</v>
      </c>
      <c r="D46" s="22" t="s">
        <v>404</v>
      </c>
      <c r="E46" s="22" t="s">
        <v>405</v>
      </c>
      <c r="F46" s="22" t="s">
        <v>177</v>
      </c>
      <c r="G46" s="22" t="s">
        <v>448</v>
      </c>
      <c r="H46" s="22" t="s">
        <v>449</v>
      </c>
      <c r="I46" s="22" t="s">
        <v>450</v>
      </c>
      <c r="J46" s="22" t="s">
        <v>202</v>
      </c>
      <c r="K46" s="22"/>
      <c r="L46" s="22"/>
      <c r="M46" s="23"/>
      <c r="N46" s="22"/>
    </row>
  </sheetData>
  <autoFilter ref="A1:N46"/>
  <conditionalFormatting sqref="K2:K4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2">
      <formula>"Fail"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13">
      <formula>"Not run"</formula>
    </cfRule>
  </conditionalFormatting>
  <dataValidations count="1">
    <dataValidation allowBlank="true" errorStyle="stop" operator="between" showDropDown="false" showErrorMessage="false" showInputMessage="false" sqref="K2:K46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20"/>
  </cols>
  <sheetData>
    <row r="2" customFormat="false" ht="19.5" hidden="false" customHeight="true" outlineLevel="0" collapsed="false">
      <c r="B2" s="2" t="s">
        <v>451</v>
      </c>
      <c r="C2" s="2"/>
      <c r="D2" s="2"/>
      <c r="E2" s="2"/>
    </row>
    <row r="4" customFormat="false" ht="15" hidden="false" customHeight="true" outlineLevel="0" collapsed="false">
      <c r="B4" s="30" t="s">
        <v>154</v>
      </c>
      <c r="C4" s="30" t="s">
        <v>452</v>
      </c>
      <c r="D4" s="30" t="s">
        <v>453</v>
      </c>
    </row>
    <row r="5" customFormat="false" ht="15" hidden="false" customHeight="true" outlineLevel="0" collapsed="false">
      <c r="B5" s="16" t="s">
        <v>454</v>
      </c>
      <c r="C5" s="16" t="s">
        <v>455</v>
      </c>
      <c r="D5" s="16" t="s">
        <v>456</v>
      </c>
    </row>
    <row r="6" customFormat="false" ht="15" hidden="false" customHeight="true" outlineLevel="0" collapsed="false">
      <c r="B6" s="16" t="s">
        <v>457</v>
      </c>
      <c r="C6" s="16" t="s">
        <v>458</v>
      </c>
      <c r="D6" s="16" t="s">
        <v>459</v>
      </c>
    </row>
    <row r="7" customFormat="false" ht="15" hidden="false" customHeight="true" outlineLevel="0" collapsed="false">
      <c r="B7" s="16" t="s">
        <v>460</v>
      </c>
      <c r="C7" s="16" t="s">
        <v>461</v>
      </c>
      <c r="D7" s="16" t="s">
        <v>459</v>
      </c>
    </row>
    <row r="8" customFormat="false" ht="15" hidden="false" customHeight="true" outlineLevel="0" collapsed="false">
      <c r="B8" s="16" t="s">
        <v>462</v>
      </c>
      <c r="C8" s="16" t="s">
        <v>463</v>
      </c>
      <c r="D8" s="16" t="s">
        <v>464</v>
      </c>
    </row>
    <row r="11" customFormat="false" ht="15" hidden="false" customHeight="true" outlineLevel="0" collapsed="false">
      <c r="B11" s="11" t="s">
        <v>465</v>
      </c>
    </row>
    <row r="12" customFormat="false" ht="15" hidden="false" customHeight="true" outlineLevel="0" collapsed="false">
      <c r="B12" s="30" t="s">
        <v>466</v>
      </c>
      <c r="C12" s="30" t="s">
        <v>467</v>
      </c>
    </row>
    <row r="13" customFormat="false" ht="15" hidden="false" customHeight="true" outlineLevel="0" collapsed="false">
      <c r="B13" s="31" t="s">
        <v>468</v>
      </c>
      <c r="C13" s="31" t="s">
        <v>469</v>
      </c>
    </row>
    <row r="14" customFormat="false" ht="15" hidden="false" customHeight="true" outlineLevel="0" collapsed="false">
      <c r="B14" s="31" t="s">
        <v>470</v>
      </c>
      <c r="C14" s="31" t="s">
        <v>471</v>
      </c>
    </row>
    <row r="15" customFormat="false" ht="15" hidden="false" customHeight="true" outlineLevel="0" collapsed="false">
      <c r="B15" s="31" t="s">
        <v>472</v>
      </c>
      <c r="C15" s="31" t="s">
        <v>473</v>
      </c>
    </row>
    <row r="16" customFormat="false" ht="15" hidden="false" customHeight="true" outlineLevel="0" collapsed="false">
      <c r="B16" s="31" t="s">
        <v>474</v>
      </c>
      <c r="C16" s="31" t="s">
        <v>475</v>
      </c>
    </row>
    <row r="17" customFormat="false" ht="15" hidden="false" customHeight="true" outlineLevel="0" collapsed="false">
      <c r="B17" s="31" t="s">
        <v>476</v>
      </c>
      <c r="C17" s="31" t="s">
        <v>477</v>
      </c>
    </row>
    <row r="19" customFormat="false" ht="15" hidden="false" customHeight="true" outlineLevel="0" collapsed="false">
      <c r="B19" s="32" t="s">
        <v>478</v>
      </c>
    </row>
    <row r="20" customFormat="false" ht="15" hidden="false" customHeight="true" outlineLevel="0" collapsed="false">
      <c r="B20" s="32" t="s">
        <v>479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2026-08-07T08:52:42Z</dcterms:created>
  <dc:creator>openpyxl</dc:creator>
  <dc:description/>
  <dc:language>en-US</dc:language>
  <cp:lastModifiedBy/>
  <dcterms:modified xsi:type="dcterms:W3CDTF">2026-08-07T09:15:01Z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