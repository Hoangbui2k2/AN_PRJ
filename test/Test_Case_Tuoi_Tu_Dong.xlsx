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Giới thiệu" sheetId="2" state="visible" r:id="rId2"/>
    <sheet xmlns:r="http://schemas.openxmlformats.org/officeDocument/2006/relationships" name="Tính năng hệ thống" sheetId="3" state="visible" r:id="rId3"/>
    <sheet xmlns:r="http://schemas.openxmlformats.org/officeDocument/2006/relationships" name="Lệnh test MQTT" sheetId="4" state="visible" r:id="rId4"/>
    <sheet xmlns:r="http://schemas.openxmlformats.org/officeDocument/2006/relationships" name="Map Suite - TC" sheetId="5" state="visible" r:id="rId5"/>
    <sheet xmlns:r="http://schemas.openxmlformats.org/officeDocument/2006/relationships" name="Quy ước giao thức" sheetId="6" state="visible" r:id="rId6"/>
    <sheet xmlns:r="http://schemas.openxmlformats.org/officeDocument/2006/relationships" name="MQTT Topics" sheetId="7" state="visible" r:id="rId7"/>
    <sheet xmlns:r="http://schemas.openxmlformats.org/officeDocument/2006/relationships" name="Test Cases" sheetId="8" state="visible" r:id="rId8"/>
    <sheet xmlns:r="http://schemas.openxmlformats.org/officeDocument/2006/relationships" name="Phụ lục" sheetId="9" state="visible" r:id="rId9"/>
    <sheet xmlns:r="http://schemas.openxmlformats.org/officeDocument/2006/relationships" name="Cập nhật" sheetId="10" state="visible" r:id="rId10"/>
  </sheets>
  <definedNames>
    <definedName name="_xlnm._FilterDatabase" localSheetId="2" hidden="1">'Tính năng hệ thống'!$B$5:$F$56</definedName>
    <definedName name="_xlnm._FilterDatabase" localSheetId="4" hidden="1">'Map Suite - TC'!$B$5:$F$32</definedName>
    <definedName name="_xlnm._FilterDatabase" localSheetId="7" hidden="1">'Test Cases'!$A$1:$N$105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F3864"/>
      <sz val="14"/>
    </font>
    <font>
      <b val="1"/>
      <color rgb="001F3864"/>
      <sz val="11"/>
    </font>
    <font>
      <b val="1"/>
      <color rgb="00FFFFFF"/>
      <sz val="10"/>
    </font>
    <font>
      <b val="1"/>
      <sz val="10"/>
    </font>
    <font>
      <name val="Consolas"/>
      <sz val="9"/>
    </font>
  </fonts>
  <fills count="13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D9D9"/>
      </patternFill>
    </fill>
    <fill>
      <patternFill patternType="solid">
        <fgColor rgb="00FCE4D6"/>
      </patternFill>
    </fill>
    <fill>
      <patternFill patternType="solid">
        <fgColor rgb="00F8CBAD"/>
      </patternFill>
    </fill>
    <fill>
      <patternFill patternType="solid">
        <fgColor rgb="00FCE4E4"/>
      </patternFill>
    </fill>
    <fill>
      <patternFill patternType="solid">
        <fgColor rgb="00E4DFEC"/>
      </patternFill>
    </fill>
    <fill>
      <patternFill patternType="solid">
        <fgColor rgb="00F2F6F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9" fontId="0" fillId="0" borderId="0" pivotButton="0" quotePrefix="0" xfId="0"/>
    <xf numFmtId="0" fontId="2" fillId="3" borderId="1" pivotButton="0" quotePrefix="0" xfId="0"/>
    <xf numFmtId="9" fontId="2" fillId="3" borderId="1" pivotButton="0" quotePrefix="0" xfId="0"/>
    <xf numFmtId="0" fontId="0" fillId="0" borderId="0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0" fillId="8" borderId="1" applyAlignment="1" pivotButton="0" quotePrefix="0" xfId="0">
      <alignment vertical="top" wrapText="1"/>
    </xf>
    <xf numFmtId="0" fontId="5" fillId="8" borderId="1" applyAlignment="1" pivotButton="0" quotePrefix="0" xfId="0">
      <alignment vertical="top" wrapText="1"/>
    </xf>
    <xf numFmtId="0" fontId="0" fillId="9" borderId="1" applyAlignment="1" pivotButton="0" quotePrefix="0" xfId="0">
      <alignment vertical="top" wrapText="1"/>
    </xf>
    <xf numFmtId="0" fontId="5" fillId="9" borderId="1" applyAlignment="1" pivotButton="0" quotePrefix="0" xfId="0">
      <alignment vertical="top" wrapText="1"/>
    </xf>
    <xf numFmtId="0" fontId="0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0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horizontal="center" vertical="center" wrapText="1"/>
    </xf>
    <xf numFmtId="0" fontId="0" fillId="12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I27"/>
  <sheetViews>
    <sheetView workbookViewId="0">
      <selection activeCell="A1" sqref="A1"/>
    </sheetView>
  </sheetViews>
  <sheetFormatPr baseColWidth="8" defaultRowHeight="15"/>
  <cols>
    <col width="3" customWidth="1" min="1" max="1"/>
    <col width="7" customWidth="1" min="2" max="2"/>
    <col width="52" customWidth="1" min="3" max="3"/>
    <col width="11" customWidth="1" min="4" max="4"/>
    <col width="8" customWidth="1" min="5" max="5"/>
    <col width="8" customWidth="1" min="6" max="6"/>
    <col width="9" customWidth="1" min="7" max="7"/>
    <col width="9" customWidth="1" min="8" max="8"/>
    <col width="9" customWidth="1" min="9" max="9"/>
  </cols>
  <sheetData>
    <row r="2">
      <c r="B2" s="1" t="inlineStr">
        <is>
          <t>BÁO CÁO TEST CASE — HỆ THỐNG TƯỚI TỰ ĐỘNG (LoRa Node ↔ Gateway ↔ Server)</t>
        </is>
      </c>
    </row>
    <row r="3">
      <c r="B3" s="2" t="inlineStr">
        <is>
          <t>Cập nhật theo tính năng HIỆN CÓ của firmware — điền cột 'Kết quả' ở sheet 'Test Cases' để bảng tự tính.</t>
        </is>
      </c>
    </row>
    <row r="5">
      <c r="A5" s="3" t="n"/>
      <c r="B5" s="3" t="inlineStr">
        <is>
          <t>Nhóm</t>
        </is>
      </c>
      <c r="C5" s="3" t="inlineStr">
        <is>
          <t>Mô tả nhóm</t>
        </is>
      </c>
      <c r="D5" s="3" t="inlineStr">
        <is>
          <t>Tổng số TC</t>
        </is>
      </c>
      <c r="E5" s="3" t="inlineStr">
        <is>
          <t>Pass</t>
        </is>
      </c>
      <c r="F5" s="3" t="inlineStr">
        <is>
          <t>Fail</t>
        </is>
      </c>
      <c r="G5" s="3" t="inlineStr">
        <is>
          <t>Blocked</t>
        </is>
      </c>
      <c r="H5" s="3" t="inlineStr">
        <is>
          <t>Not run</t>
        </is>
      </c>
      <c r="I5" s="3" t="inlineStr">
        <is>
          <t>% Pass</t>
        </is>
      </c>
    </row>
    <row r="6">
      <c r="B6" t="inlineStr">
        <is>
          <t>A</t>
        </is>
      </c>
      <c r="C6" t="inlineStr">
        <is>
          <t>Bootstrap &amp; kết nối hệ thống (gateway/node boot, heartbeat, LWT)</t>
        </is>
      </c>
      <c r="D6">
        <f>COUNTIF('Test Cases'!$A$2:$A$105,$B6)</f>
        <v/>
      </c>
      <c r="E6">
        <f>COUNTIFS('Test Cases'!$A$2:$A$105,$B6,'Test Cases'!$K$2:$K$105,"Pass")</f>
        <v/>
      </c>
      <c r="F6">
        <f>COUNTIFS('Test Cases'!$A$2:$A$105,$B6,'Test Cases'!$K$2:$K$105,"Fail")</f>
        <v/>
      </c>
      <c r="G6">
        <f>COUNTIFS('Test Cases'!$A$2:$A$105,$B6,'Test Cases'!$K$2:$K$105,"Blocked")</f>
        <v/>
      </c>
      <c r="H6">
        <f>D6-E6-F6-G6</f>
        <v/>
      </c>
      <c r="I6" s="4">
        <f>IF(D6=0,0,E6/D6)</f>
        <v/>
      </c>
    </row>
    <row r="7">
      <c r="B7" t="inlineStr">
        <is>
          <t>B</t>
        </is>
      </c>
      <c r="C7" t="inlineStr">
        <is>
          <t>Node → Gateway (LoRa uplink: data/compact/heartbeat/alarm/ACK/REQ)</t>
        </is>
      </c>
      <c r="D7">
        <f>COUNTIF('Test Cases'!$A$2:$A$105,$B7)</f>
        <v/>
      </c>
      <c r="E7">
        <f>COUNTIFS('Test Cases'!$A$2:$A$105,$B7,'Test Cases'!$K$2:$K$105,"Pass")</f>
        <v/>
      </c>
      <c r="F7">
        <f>COUNTIFS('Test Cases'!$A$2:$A$105,$B7,'Test Cases'!$K$2:$K$105,"Fail")</f>
        <v/>
      </c>
      <c r="G7">
        <f>COUNTIFS('Test Cases'!$A$2:$A$105,$B7,'Test Cases'!$K$2:$K$105,"Blocked")</f>
        <v/>
      </c>
      <c r="H7">
        <f>D7-E7-F7-G7</f>
        <v/>
      </c>
      <c r="I7" s="4">
        <f>IF(D7=0,0,E7/D7)</f>
        <v/>
      </c>
    </row>
    <row r="8">
      <c r="B8" t="inlineStr">
        <is>
          <t>C</t>
        </is>
      </c>
      <c r="C8" t="inlineStr">
        <is>
          <t>Gateway → Server (MQTT publish: data/status/alarm/baseline)</t>
        </is>
      </c>
      <c r="D8">
        <f>COUNTIF('Test Cases'!$A$2:$A$105,$B8)</f>
        <v/>
      </c>
      <c r="E8">
        <f>COUNTIFS('Test Cases'!$A$2:$A$105,$B8,'Test Cases'!$K$2:$K$105,"Pass")</f>
        <v/>
      </c>
      <c r="F8">
        <f>COUNTIFS('Test Cases'!$A$2:$A$105,$B8,'Test Cases'!$K$2:$K$105,"Fail")</f>
        <v/>
      </c>
      <c r="G8">
        <f>COUNTIFS('Test Cases'!$A$2:$A$105,$B8,'Test Cases'!$K$2:$K$105,"Blocked")</f>
        <v/>
      </c>
      <c r="H8">
        <f>D8-E8-F8-G8</f>
        <v/>
      </c>
      <c r="I8" s="4">
        <f>IF(D8=0,0,E8/D8)</f>
        <v/>
      </c>
    </row>
    <row r="9">
      <c r="B9" t="inlineStr">
        <is>
          <t>D</t>
        </is>
      </c>
      <c r="C9" t="inlineStr">
        <is>
          <t>Server → Node (lệnh end-to-end, cache-first, ACK/retry)</t>
        </is>
      </c>
      <c r="D9">
        <f>COUNTIF('Test Cases'!$A$2:$A$105,$B9)</f>
        <v/>
      </c>
      <c r="E9">
        <f>COUNTIFS('Test Cases'!$A$2:$A$105,$B9,'Test Cases'!$K$2:$K$105,"Pass")</f>
        <v/>
      </c>
      <c r="F9">
        <f>COUNTIFS('Test Cases'!$A$2:$A$105,$B9,'Test Cases'!$K$2:$K$105,"Fail")</f>
        <v/>
      </c>
      <c r="G9">
        <f>COUNTIFS('Test Cases'!$A$2:$A$105,$B9,'Test Cases'!$K$2:$K$105,"Blocked")</f>
        <v/>
      </c>
      <c r="H9">
        <f>D9-E9-F9-G9</f>
        <v/>
      </c>
      <c r="I9" s="4">
        <f>IF(D9=0,0,E9/D9)</f>
        <v/>
      </c>
    </row>
    <row r="10">
      <c r="B10" t="inlineStr">
        <is>
          <t>E</t>
        </is>
      </c>
      <c r="C10" t="inlineStr">
        <is>
          <t>Node behaviors (mode, schedule slot, timed-run, alarm, delta)</t>
        </is>
      </c>
      <c r="D10">
        <f>COUNTIF('Test Cases'!$A$2:$A$105,$B10)</f>
        <v/>
      </c>
      <c r="E10">
        <f>COUNTIFS('Test Cases'!$A$2:$A$105,$B10,'Test Cases'!$K$2:$K$105,"Pass")</f>
        <v/>
      </c>
      <c r="F10">
        <f>COUNTIFS('Test Cases'!$A$2:$A$105,$B10,'Test Cases'!$K$2:$K$105,"Fail")</f>
        <v/>
      </c>
      <c r="G10">
        <f>COUNTIFS('Test Cases'!$A$2:$A$105,$B10,'Test Cases'!$K$2:$K$105,"Blocked")</f>
        <v/>
      </c>
      <c r="H10">
        <f>D10-E10-F10-G10</f>
        <v/>
      </c>
      <c r="I10" s="4">
        <f>IF(D10=0,0,E10/D10)</f>
        <v/>
      </c>
    </row>
    <row r="11">
      <c r="B11" t="inlineStr">
        <is>
          <t>F</t>
        </is>
      </c>
      <c r="C11" t="inlineStr">
        <is>
          <t>System test (end-to-end nhiều thành phần)</t>
        </is>
      </c>
      <c r="D11">
        <f>COUNTIF('Test Cases'!$A$2:$A$105,$B11)</f>
        <v/>
      </c>
      <c r="E11">
        <f>COUNTIFS('Test Cases'!$A$2:$A$105,$B11,'Test Cases'!$K$2:$K$105,"Pass")</f>
        <v/>
      </c>
      <c r="F11">
        <f>COUNTIFS('Test Cases'!$A$2:$A$105,$B11,'Test Cases'!$K$2:$K$105,"Fail")</f>
        <v/>
      </c>
      <c r="G11">
        <f>COUNTIFS('Test Cases'!$A$2:$A$105,$B11,'Test Cases'!$K$2:$K$105,"Blocked")</f>
        <v/>
      </c>
      <c r="H11">
        <f>D11-E11-F11-G11</f>
        <v/>
      </c>
      <c r="I11" s="4">
        <f>IF(D11=0,0,E11/D11)</f>
        <v/>
      </c>
    </row>
    <row r="12">
      <c r="B12" t="inlineStr">
        <is>
          <t>G</t>
        </is>
      </c>
      <c r="C12" t="inlineStr">
        <is>
          <t>Negative / Edge cases</t>
        </is>
      </c>
      <c r="D12">
        <f>COUNTIF('Test Cases'!$A$2:$A$105,$B12)</f>
        <v/>
      </c>
      <c r="E12">
        <f>COUNTIFS('Test Cases'!$A$2:$A$105,$B12,'Test Cases'!$K$2:$K$105,"Pass")</f>
        <v/>
      </c>
      <c r="F12">
        <f>COUNTIFS('Test Cases'!$A$2:$A$105,$B12,'Test Cases'!$K$2:$K$105,"Fail")</f>
        <v/>
      </c>
      <c r="G12">
        <f>COUNTIFS('Test Cases'!$A$2:$A$105,$B12,'Test Cases'!$K$2:$K$105,"Blocked")</f>
        <v/>
      </c>
      <c r="H12">
        <f>D12-E12-F12-G12</f>
        <v/>
      </c>
      <c r="I12" s="4">
        <f>IF(D12=0,0,E12/D12)</f>
        <v/>
      </c>
    </row>
    <row r="13">
      <c r="B13" t="inlineStr">
        <is>
          <t>H</t>
        </is>
      </c>
      <c r="C13" t="inlineStr">
        <is>
          <t>Slot &amp; đồng bộ thời gian 96×15 phút (sync_slot, broadcast biên)</t>
        </is>
      </c>
      <c r="D13">
        <f>COUNTIF('Test Cases'!$A$2:$A$105,$B13)</f>
        <v/>
      </c>
      <c r="E13">
        <f>COUNTIFS('Test Cases'!$A$2:$A$105,$B13,'Test Cases'!$K$2:$K$105,"Pass")</f>
        <v/>
      </c>
      <c r="F13">
        <f>COUNTIFS('Test Cases'!$A$2:$A$105,$B13,'Test Cases'!$K$2:$K$105,"Fail")</f>
        <v/>
      </c>
      <c r="G13">
        <f>COUNTIFS('Test Cases'!$A$2:$A$105,$B13,'Test Cases'!$K$2:$K$105,"Blocked")</f>
        <v/>
      </c>
      <c r="H13">
        <f>D13-E13-F13-G13</f>
        <v/>
      </c>
      <c r="I13" s="4">
        <f>IF(D13=0,0,E13/D13)</f>
        <v/>
      </c>
    </row>
    <row r="14">
      <c r="B14" t="inlineStr">
        <is>
          <t>I</t>
        </is>
      </c>
      <c r="C14" t="inlineStr">
        <is>
          <t>Baseline provisioning (set_baseline, chunk 0x07/0x08/0x09)</t>
        </is>
      </c>
      <c r="D14">
        <f>COUNTIF('Test Cases'!$A$2:$A$105,$B14)</f>
        <v/>
      </c>
      <c r="E14">
        <f>COUNTIFS('Test Cases'!$A$2:$A$105,$B14,'Test Cases'!$K$2:$K$105,"Pass")</f>
        <v/>
      </c>
      <c r="F14">
        <f>COUNTIFS('Test Cases'!$A$2:$A$105,$B14,'Test Cases'!$K$2:$K$105,"Fail")</f>
        <v/>
      </c>
      <c r="G14">
        <f>COUNTIFS('Test Cases'!$A$2:$A$105,$B14,'Test Cases'!$K$2:$K$105,"Blocked")</f>
        <v/>
      </c>
      <c r="H14">
        <f>D14-E14-F14-G14</f>
        <v/>
      </c>
      <c r="I14" s="4">
        <f>IF(D14=0,0,E14/D14)</f>
        <v/>
      </c>
    </row>
    <row r="15">
      <c r="B15" t="inlineStr">
        <is>
          <t>J</t>
        </is>
      </c>
      <c r="C15" t="inlineStr">
        <is>
          <t>Baseline gating &amp; nội suy (send-decision, interpolation)</t>
        </is>
      </c>
      <c r="D15">
        <f>COUNTIF('Test Cases'!$A$2:$A$105,$B15)</f>
        <v/>
      </c>
      <c r="E15">
        <f>COUNTIFS('Test Cases'!$A$2:$A$105,$B15,'Test Cases'!$K$2:$K$105,"Pass")</f>
        <v/>
      </c>
      <c r="F15">
        <f>COUNTIFS('Test Cases'!$A$2:$A$105,$B15,'Test Cases'!$K$2:$K$105,"Fail")</f>
        <v/>
      </c>
      <c r="G15">
        <f>COUNTIFS('Test Cases'!$A$2:$A$105,$B15,'Test Cases'!$K$2:$K$105,"Blocked")</f>
        <v/>
      </c>
      <c r="H15">
        <f>D15-E15-F15-G15</f>
        <v/>
      </c>
      <c r="I15" s="4">
        <f>IF(D15=0,0,E15/D15)</f>
        <v/>
      </c>
    </row>
    <row r="16">
      <c r="B16" t="inlineStr">
        <is>
          <t>K</t>
        </is>
      </c>
      <c r="C16" t="inlineStr">
        <is>
          <t>HiveMQ Cloud (user/pass TLS 8883) — logic mới đã deploy</t>
        </is>
      </c>
      <c r="D16">
        <f>COUNTIF('Test Cases'!$A$2:$A$105,$B16)</f>
        <v/>
      </c>
      <c r="E16">
        <f>COUNTIFS('Test Cases'!$A$2:$A$105,$B16,'Test Cases'!$K$2:$K$105,"Pass")</f>
        <v/>
      </c>
      <c r="F16">
        <f>COUNTIFS('Test Cases'!$A$2:$A$105,$B16,'Test Cases'!$K$2:$K$105,"Fail")</f>
        <v/>
      </c>
      <c r="G16">
        <f>COUNTIFS('Test Cases'!$A$2:$A$105,$B16,'Test Cases'!$K$2:$K$105,"Blocked")</f>
        <v/>
      </c>
      <c r="H16">
        <f>D16-E16-F16-G16</f>
        <v/>
      </c>
      <c r="I16" s="4">
        <f>IF(D16=0,0,E16/D16)</f>
        <v/>
      </c>
    </row>
    <row r="17">
      <c r="B17" s="5" t="inlineStr">
        <is>
          <t>TỔNG CỘNG</t>
        </is>
      </c>
      <c r="C17" s="5" t="n"/>
      <c r="D17" s="5">
        <f>SUM(D6:D16)</f>
        <v/>
      </c>
      <c r="E17" s="5">
        <f>SUM(E6:E16)</f>
        <v/>
      </c>
      <c r="F17" s="5">
        <f>SUM(F6:F16)</f>
        <v/>
      </c>
      <c r="G17" s="5">
        <f>SUM(G6:G16)</f>
        <v/>
      </c>
      <c r="H17" s="5">
        <f>SUM(H6:H16)</f>
        <v/>
      </c>
      <c r="I17" s="6">
        <f>IF(D17=0,0,E17/D17)</f>
        <v/>
      </c>
    </row>
    <row r="19">
      <c r="B19" t="inlineStr">
        <is>
          <t>Ghi chú:</t>
        </is>
      </c>
    </row>
    <row r="20">
      <c r="B20" t="inlineStr">
        <is>
          <t>- Cột 'Kết quả' (sheet 'Test Cases') dùng dropdown: Pass / Fail / Blocked / Not run.</t>
        </is>
      </c>
    </row>
    <row r="21">
      <c r="B21" t="inlineStr">
        <is>
          <t>- Bảng 'Tổng quan' tự tính bằng COUNTIFS theo cột Nhóm (A) và cột Kết quả (K).</t>
        </is>
      </c>
    </row>
    <row r="22">
      <c r="B22" t="inlineStr">
        <is>
          <t>- Ô nền VÀNG ở sheet 'Test Cases' = test case MỚI hoặc đã CẬP NHẬT theo firmware hiện tại.</t>
        </is>
      </c>
    </row>
    <row r="23">
      <c r="B23" t="inlineStr">
        <is>
          <t>- Sheet 'Tính năng hệ thống' liệt kê toàn bộ tính năng hiện có (Gateway / Node / Chung) kèm mã TC.</t>
        </is>
      </c>
    </row>
    <row r="24">
      <c r="B24" t="inlineStr">
        <is>
          <t>- Sheet 'Lệnh test MQTT' chứa sẵn các lệnh mosquitto_pub/sub để test trên HiveMQ.</t>
        </is>
      </c>
    </row>
    <row r="25">
      <c r="B25" t="inlineStr">
        <is>
          <t>- Sheet 'Map Suite - TC' đối chiếu các suite tự động với mã TC A–K của bảng này.</t>
        </is>
      </c>
    </row>
    <row r="26">
      <c r="B26" t="inlineStr">
        <is>
          <t>- Xem sheet 'Cập nhật' để biết danh sách test case đã BỎ / THÊM / ĐỔI.</t>
        </is>
      </c>
    </row>
    <row r="27">
      <c r="B27" t="inlineStr">
        <is>
          <t>- CRC8 = XOR các byte (xem sheet 'Phụ lục' và crc.c).</t>
        </is>
      </c>
    </row>
  </sheetData>
  <mergeCells count="11">
    <mergeCell ref="B21:I21"/>
    <mergeCell ref="B25:I25"/>
    <mergeCell ref="B24:I24"/>
    <mergeCell ref="B2:I2"/>
    <mergeCell ref="B20:I20"/>
    <mergeCell ref="B3:I3"/>
    <mergeCell ref="B19:I19"/>
    <mergeCell ref="B22:I22"/>
    <mergeCell ref="B23:I23"/>
    <mergeCell ref="B27:I27"/>
    <mergeCell ref="B26:I2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29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22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2">
      <c r="B2" s="1" t="inlineStr">
        <is>
          <t>Test Cases — Server ↔ Gateway ↔ Node (IT &amp; System Test)</t>
        </is>
      </c>
    </row>
    <row r="3">
      <c r="B3" s="1" t="inlineStr">
        <is>
          <t>Hệ thống tưới tiêu thông minh: Node (ESP32) ⟷ LoRa UART ⟷ Gateway (ESP32) ⟷ MQTT/TLS ⟷ Server (HiveMQ Cloud).</t>
        </is>
      </c>
    </row>
    <row r="4">
      <c r="B4" s="1" t="inlineStr">
        <is>
          <t>Bộ test case IT + System, Input/Output chi tiết cho cả 2 tầng giao tiếp. Đã cập nhật theo firmware hiện tại (slot 96×15 phút, baseline, cache-first, AWS).</t>
        </is>
      </c>
    </row>
    <row r="6">
      <c r="B6" t="inlineStr"/>
      <c r="C6" s="7" t="inlineStr"/>
    </row>
    <row r="7">
      <c r="B7" s="2" t="inlineStr">
        <is>
          <t>Thành phần hệ thống</t>
        </is>
      </c>
      <c r="C7" s="7" t="inlineStr"/>
    </row>
    <row r="8">
      <c r="B8" t="inlineStr">
        <is>
          <t>Thành phần</t>
        </is>
      </c>
      <c r="C8" s="7" t="inlineStr">
        <is>
          <t>Firmware / vai trò</t>
        </is>
      </c>
    </row>
    <row r="9">
      <c r="B9" t="inlineStr">
        <is>
          <t>Node</t>
        </is>
      </c>
      <c r="C9" s="7" t="inlineStr">
        <is>
          <t>node_irr — ESP32 + DHT22 + soil ADC + battery, CD4013 pump latch, deep sleep</t>
        </is>
      </c>
    </row>
    <row r="10">
      <c r="B10" t="inlineStr">
        <is>
          <t>Gateway</t>
        </is>
      </c>
      <c r="C10" s="7" t="inlineStr">
        <is>
          <t>gateway_irr — ESP32 LoRa↔MQTT, quản lý 10 node, cache lệnh, slot, baseline</t>
        </is>
      </c>
    </row>
    <row r="11">
      <c r="B11" t="inlineStr">
        <is>
          <t>Server (mô phỏng)</t>
        </is>
      </c>
      <c r="C11" s="7" t="inlineStr">
        <is>
          <t>test/mqtt_server_sim.py — listen / suite / check-schema</t>
        </is>
      </c>
    </row>
    <row r="12">
      <c r="B12" t="inlineStr">
        <is>
          <t>Broker chính</t>
        </is>
      </c>
      <c r="C12" s="7" t="inlineStr">
        <is>
          <t>HiveMQ Cloud — username/password over TLS 8883 (KHÔNG cần partition 'certs')</t>
        </is>
      </c>
    </row>
    <row r="13">
      <c r="B13" t="inlineStr">
        <is>
          <t>Broker tùy chọn</t>
        </is>
      </c>
      <c r="C13" s="7" t="inlineStr">
        <is>
          <t>AWS IoT Core — mutual-TLS X.509 (chế độ thay thế, cần certs partition)</t>
        </is>
      </c>
    </row>
    <row r="14">
      <c r="B14" t="inlineStr"/>
      <c r="C14" s="7" t="inlineStr"/>
    </row>
    <row r="15">
      <c r="B15" s="2" t="inlineStr">
        <is>
          <t>0. Cách sử dụng tài liệu</t>
        </is>
      </c>
      <c r="C15" s="7" t="inlineStr"/>
    </row>
    <row r="16">
      <c r="B16" t="inlineStr">
        <is>
          <t>• Loại</t>
        </is>
      </c>
      <c r="C16" s="7" t="inlineStr">
        <is>
          <t>IT (giữa 2 module) hoặc System (end-to-end).</t>
        </is>
      </c>
    </row>
    <row r="17">
      <c r="B17" t="inlineStr">
        <is>
          <t>• Tầng</t>
        </is>
      </c>
      <c r="C17" s="7" t="inlineStr">
        <is>
          <t>Node↔GW, GW↔Server, End-to-end, Node, Gateway, AWS↔GW.</t>
        </is>
      </c>
    </row>
    <row r="18">
      <c r="B18" t="inlineStr">
        <is>
          <t>• Input</t>
        </is>
      </c>
      <c r="C18" s="7" t="inlineStr">
        <is>
          <t>byte LoRa (hex) hoặc JSON MQTT chính xác.</t>
        </is>
      </c>
    </row>
    <row r="19">
      <c r="B19" t="inlineStr">
        <is>
          <t>• Output mong đợi</t>
        </is>
      </c>
      <c r="C19" s="7" t="inlineStr">
        <is>
          <t>byte/JSON/message + điều kiện PASS.</t>
        </is>
      </c>
    </row>
    <row r="20">
      <c r="B20" t="inlineStr">
        <is>
          <t>• Verify</t>
        </is>
      </c>
      <c r="C20" s="7" t="inlineStr">
        <is>
          <t>serial node / serial gateway / script server / AWS MQTT test client.</t>
        </is>
      </c>
    </row>
    <row r="21">
      <c r="B21" t="inlineStr"/>
      <c r="C21" s="7" t="inlineStr"/>
    </row>
    <row r="22">
      <c r="B22" s="2" t="inlineStr">
        <is>
          <t>Chuẩn bị môi trường (chạy 1 lần trước mọi nhóm)</t>
        </is>
      </c>
      <c r="C22" s="7" t="inlineStr"/>
    </row>
    <row r="23">
      <c r="B23" t="inlineStr">
        <is>
          <t>1.</t>
        </is>
      </c>
      <c r="C23" s="7" t="inlineStr">
        <is>
          <t>Flash node_irr, mở serial monitor.</t>
        </is>
      </c>
    </row>
    <row r="24">
      <c r="B24" t="inlineStr">
        <is>
          <t>2.</t>
        </is>
      </c>
      <c r="C24" s="7" t="inlineStr">
        <is>
          <t>Flash gateway_irr, mở serial monitor (COM10).</t>
        </is>
      </c>
    </row>
    <row r="25">
      <c r="B25" t="inlineStr">
        <is>
          <t>3.</t>
        </is>
      </c>
      <c r="C25" s="7" t="inlineStr">
        <is>
          <t>Chuẩn bị broker HiveMQ Cloud (user/pass TLS 8883). Nếu dùng AWS IoT Core (tùy chọn) thì nạp cert vào partition 'certs'.</t>
        </is>
      </c>
    </row>
    <row r="26">
      <c r="B26" t="inlineStr">
        <is>
          <t>4.</t>
        </is>
      </c>
      <c r="C26" s="7" t="inlineStr">
        <is>
          <t>Chạy script server: python mqtt_server_sim.py --broker &lt;uri&gt; --port &lt;p&gt; --user &lt;u&gt; --pass &lt;p&gt; --site HCM --gw gw_01 --nodes 1,2</t>
        </is>
      </c>
    </row>
    <row r="27">
      <c r="B27" t="inlineStr">
        <is>
          <t>5.</t>
        </is>
      </c>
      <c r="C27" s="7" t="inlineStr">
        <is>
          <t>Xác nhận node + gateway ONLINE trên bảng script.</t>
        </is>
      </c>
    </row>
    <row r="28">
      <c r="B28" t="inlineStr"/>
      <c r="C28" s="7" t="inlineStr"/>
    </row>
    <row r="29">
      <c r="B29" t="inlineStr">
        <is>
          <t>Ghi chú</t>
        </is>
      </c>
      <c r="C29" s="7" t="inlineStr">
        <is>
          <t>Log gateway tag GATEWAY/BASELINE_MGR; node tag MAIN/COMMANDS/BASELINE. Giá trị sensor lấy theo thực tế nếu input không ghi cụ thể.</t>
        </is>
      </c>
    </row>
  </sheetData>
  <mergeCells count="27">
    <mergeCell ref="C25:H25"/>
    <mergeCell ref="C26:H26"/>
    <mergeCell ref="C10:H10"/>
    <mergeCell ref="C16:H16"/>
    <mergeCell ref="C22:H22"/>
    <mergeCell ref="C9:H9"/>
    <mergeCell ref="C12:H12"/>
    <mergeCell ref="C21:H21"/>
    <mergeCell ref="C11:H11"/>
    <mergeCell ref="C27:H27"/>
    <mergeCell ref="B4:H4"/>
    <mergeCell ref="C23:H23"/>
    <mergeCell ref="C8:H8"/>
    <mergeCell ref="C17:H17"/>
    <mergeCell ref="B3:H3"/>
    <mergeCell ref="C7:H7"/>
    <mergeCell ref="C19:H19"/>
    <mergeCell ref="C28:H28"/>
    <mergeCell ref="C13:H13"/>
    <mergeCell ref="B2:H2"/>
    <mergeCell ref="C18:H18"/>
    <mergeCell ref="C15:H15"/>
    <mergeCell ref="C6:H6"/>
    <mergeCell ref="C24:H24"/>
    <mergeCell ref="C14:H14"/>
    <mergeCell ref="C20:H20"/>
    <mergeCell ref="C29:H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F5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13" customWidth="1" min="2" max="2"/>
    <col width="16" customWidth="1" min="3" max="3"/>
    <col width="30" customWidth="1" min="4" max="4"/>
    <col width="74" customWidth="1" min="5" max="5"/>
    <col width="26" customWidth="1" min="6" max="6"/>
  </cols>
  <sheetData>
    <row r="2">
      <c r="B2" s="1" t="inlineStr">
        <is>
          <t>Danh mục TÍNH NĂNG HIỆN CÓ của hệ thống (đối chiếu test case)</t>
        </is>
      </c>
    </row>
    <row r="3">
      <c r="B3" s="2" t="inlineStr">
        <is>
          <t>Nền theo Thành phần: Gateway (xanh dương) / Node (xanh lá) / Chung (vàng). Cột 'Mã TC liên quan' trỏ tới sheet 'Test Cases'.</t>
        </is>
      </c>
    </row>
    <row r="5">
      <c r="A5" s="3" t="n"/>
      <c r="B5" s="3" t="inlineStr">
        <is>
          <t>Thành phần</t>
        </is>
      </c>
      <c r="C5" s="3" t="inlineStr">
        <is>
          <t>Nhóm</t>
        </is>
      </c>
      <c r="D5" s="3" t="inlineStr">
        <is>
          <t>Tính năng</t>
        </is>
      </c>
      <c r="E5" s="3" t="inlineStr">
        <is>
          <t>Mô tả chi tiết</t>
        </is>
      </c>
      <c r="F5" s="3" t="inlineStr">
        <is>
          <t>Mã TC liên quan</t>
        </is>
      </c>
    </row>
    <row r="6">
      <c r="B6" s="8" t="inlineStr">
        <is>
          <t>Gateway</t>
        </is>
      </c>
      <c r="C6" s="9" t="inlineStr">
        <is>
          <t>Bridge</t>
        </is>
      </c>
      <c r="D6" s="9" t="inlineStr">
        <is>
          <t>Cầu nối LoRa ↔ MQTT</t>
        </is>
      </c>
      <c r="E6" s="9" t="inlineStr">
        <is>
          <t>Nhận uplink LoRa (data/heartbeat/alarm/ACK/REQ/done), publish MQTT; nhận lệnh MQTT rồi forward xuống node. Đa nhiệm FreeRTOS + hàng đợi UART producer/consumer để publish chậm không chặn LoRa RX.</t>
        </is>
      </c>
      <c r="F6" s="9" t="inlineStr">
        <is>
          <t>B01–B09, C01, D01, F01</t>
        </is>
      </c>
    </row>
    <row r="7">
      <c r="B7" s="8" t="inlineStr">
        <is>
          <t>Gateway</t>
        </is>
      </c>
      <c r="C7" s="9" t="inlineStr">
        <is>
          <t>MQTT</t>
        </is>
      </c>
      <c r="D7" s="9" t="inlineStr">
        <is>
          <t>Kết nối + LWT + auto-reconnect</t>
        </is>
      </c>
      <c r="E7" s="9" t="inlineStr">
        <is>
          <t>Publish 'online' ngay khi MQTT_EVENT_CONNECTED; Last Will 'offline'; tự reconnect và subscribe lại filter .../+/cmd.</t>
        </is>
      </c>
      <c r="F7" s="9" t="inlineStr">
        <is>
          <t>A02, A04, F06</t>
        </is>
      </c>
    </row>
    <row r="8">
      <c r="B8" s="8" t="inlineStr">
        <is>
          <t>Gateway</t>
        </is>
      </c>
      <c r="C8" s="9" t="inlineStr">
        <is>
          <t>MQTT</t>
        </is>
      </c>
      <c r="D8" s="9" t="inlineStr">
        <is>
          <t>Heartbeat trạng thái 60 s</t>
        </is>
      </c>
      <c r="E8" s="9" t="inlineStr">
        <is>
          <t>status gồm nodes_registered, commands_cached, uptime_seconds, version, site, gateway_id.</t>
        </is>
      </c>
      <c r="F8" s="9" t="inlineStr">
        <is>
          <t>A03, C04</t>
        </is>
      </c>
    </row>
    <row r="9">
      <c r="B9" s="8" t="inlineStr">
        <is>
          <t>Gateway</t>
        </is>
      </c>
      <c r="C9" s="9" t="inlineStr">
        <is>
          <t>MQTT</t>
        </is>
      </c>
      <c r="D9" s="9" t="inlineStr">
        <is>
          <t>Dual broker — HiveMQ user/password</t>
        </is>
      </c>
      <c r="E9" s="9" t="inlineStr">
        <is>
          <t>TLS 8883 với username/password, xác thực CA bằng x509 cert bundle của ESP.</t>
        </is>
      </c>
      <c r="F9" s="9" t="inlineStr">
        <is>
          <t>A02</t>
        </is>
      </c>
    </row>
    <row r="10">
      <c r="B10" s="8" t="inlineStr">
        <is>
          <t>Gateway</t>
        </is>
      </c>
      <c r="C10" s="9" t="inlineStr">
        <is>
          <t>MQTT</t>
        </is>
      </c>
      <c r="D10" s="9" t="inlineStr">
        <is>
          <t>HiveMQ Cloud (user/pass TLS 8883)</t>
        </is>
      </c>
      <c r="E10" s="9" t="inlineStr">
        <is>
          <t>Broker chính: xác thực username/password qua TLS 8883; CA xác thực bằng x509 cert bundle của ESP (không cần partition 'certs').</t>
        </is>
      </c>
      <c r="F10" s="9" t="inlineStr">
        <is>
          <t>K01–K08</t>
        </is>
      </c>
    </row>
    <row r="11">
      <c r="B11" s="8" t="inlineStr">
        <is>
          <t>Gateway</t>
        </is>
      </c>
      <c r="C11" s="9" t="inlineStr">
        <is>
          <t>MQTT</t>
        </is>
      </c>
      <c r="D11" s="9" t="inlineStr">
        <is>
          <t>AWS IoT Core mutual-TLS (chế độ thay thế)</t>
        </is>
      </c>
      <c r="E11" s="9" t="inlineStr">
        <is>
          <t>Tuỳ chọn: CA + client cert + private key trong partition NVS 'certs'; đổi cert không cần reflash app.</t>
        </is>
      </c>
      <c r="F11" s="9" t="inlineStr">
        <is>
          <t>(ngoài phạm vi test hiện tại)</t>
        </is>
      </c>
    </row>
    <row r="12">
      <c r="B12" s="8" t="inlineStr">
        <is>
          <t>Gateway</t>
        </is>
      </c>
      <c r="C12" s="9" t="inlineStr">
        <is>
          <t>Node mgmt</t>
        </is>
      </c>
      <c r="D12" s="9" t="inlineStr">
        <is>
          <t>Quản lý tối đa 11 node</t>
        </is>
      </c>
      <c r="E12" s="9" t="inlineStr">
        <is>
          <t>Bảng node lưu sensor, ngưỡng tuyệt đối, ngưỡng delta, last_seen, last_reported, mode, schedule; từ chối node thứ 12 khi bảng đầy.</t>
        </is>
      </c>
      <c r="F12" s="9" t="inlineStr">
        <is>
          <t>G06, C04</t>
        </is>
      </c>
    </row>
    <row r="13">
      <c r="B13" s="8" t="inlineStr">
        <is>
          <t>Gateway</t>
        </is>
      </c>
      <c r="C13" s="9" t="inlineStr">
        <is>
          <t>Node mgmt</t>
        </is>
      </c>
      <c r="D13" s="9" t="inlineStr">
        <is>
          <t>Timeout offline SUY RA</t>
        </is>
      </c>
      <c r="E13" s="9" t="inlineStr">
        <is>
          <t>timeout = sleep_interval × (HEARTBEAT_CYCLES+1) × 2 (sàn 60 s) ≈ 3600 s; quá hạn → publish status offline.</t>
        </is>
      </c>
      <c r="F13" s="9" t="inlineStr">
        <is>
          <t>C05, C06</t>
        </is>
      </c>
    </row>
    <row r="14">
      <c r="B14" s="8" t="inlineStr">
        <is>
          <t>Gateway</t>
        </is>
      </c>
      <c r="C14" s="9" t="inlineStr">
        <is>
          <t>Command</t>
        </is>
      </c>
      <c r="D14" s="9" t="inlineStr">
        <is>
          <t>Command cache-first</t>
        </is>
      </c>
      <c r="E14" s="9" t="inlineStr">
        <is>
          <t>MỌI lệnh cache trước (tối đa 20, FIFO eviction) và chỉ gửi khi node thực sự thức (có uplink). Cache là RAM-only.</t>
        </is>
      </c>
      <c r="F14" s="9" t="inlineStr">
        <is>
          <t>D09, F04, F05</t>
        </is>
      </c>
    </row>
    <row r="15">
      <c r="B15" s="8" t="inlineStr">
        <is>
          <t>Gateway</t>
        </is>
      </c>
      <c r="C15" s="9" t="inlineStr">
        <is>
          <t>Command</t>
        </is>
      </c>
      <c r="D15" s="9" t="inlineStr">
        <is>
          <t>ACK timeout + retry + drop</t>
        </is>
      </c>
      <c r="E15" s="9" t="inlineStr">
        <is>
          <t>ACK_TIMEOUT_MS = 3 s; re-flush ở uplink kế; tối đa MAX_RETRY = 5 lần rồi drop.</t>
        </is>
      </c>
      <c r="F15" s="9" t="inlineStr">
        <is>
          <t>D10</t>
        </is>
      </c>
    </row>
    <row r="16">
      <c r="B16" s="8" t="inlineStr">
        <is>
          <t>Gateway</t>
        </is>
      </c>
      <c r="C16" s="9" t="inlineStr">
        <is>
          <t>Command</t>
        </is>
      </c>
      <c r="D16" s="9" t="inlineStr">
        <is>
          <t>Empty ACK 0x09 cho mọi uplink</t>
        </is>
      </c>
      <c r="E16" s="9" t="inlineStr">
        <is>
          <t>Mỗi uplink luôn được trả downlink: flush lệnh/baseline nếu có, ngược lại gửi ACK rỗng 0x09.</t>
        </is>
      </c>
      <c r="F16" s="9" t="inlineStr">
        <is>
          <t>B04, B07, F06</t>
        </is>
      </c>
    </row>
    <row r="17">
      <c r="B17" s="8" t="inlineStr">
        <is>
          <t>Gateway</t>
        </is>
      </c>
      <c r="C17" s="9" t="inlineStr">
        <is>
          <t>Command</t>
        </is>
      </c>
      <c r="D17" s="9" t="inlineStr">
        <is>
          <t>Downlink 7 byte có slot</t>
        </is>
      </c>
      <c r="E17" s="9" t="inlineStr">
        <is>
          <t>Frame dest|0x05|cmd|param1|param2|slot|crc — byte slot hiện tại có mặt trong MỌI downlink.</t>
        </is>
      </c>
      <c r="F17" s="9" t="inlineStr">
        <is>
          <t>H02, D01–D11</t>
        </is>
      </c>
    </row>
    <row r="18">
      <c r="B18" s="8" t="inlineStr">
        <is>
          <t>Gateway</t>
        </is>
      </c>
      <c r="C18" s="9" t="inlineStr">
        <is>
          <t>Threshold</t>
        </is>
      </c>
      <c r="D18" s="9" t="inlineStr">
        <is>
          <t>Kiểm tra ngưỡng + alarm 3b</t>
        </is>
      </c>
      <c r="E18" s="9" t="inlineStr">
        <is>
          <t>So soil với threshold_low/high; set threshold_exceeded trong data và publish alarm khi vượt ngưỡng.</t>
        </is>
      </c>
      <c r="F18" s="9" t="inlineStr">
        <is>
          <t>C02, F02</t>
        </is>
      </c>
    </row>
    <row r="19">
      <c r="B19" s="8" t="inlineStr">
        <is>
          <t>Gateway</t>
        </is>
      </c>
      <c r="C19" s="9" t="inlineStr">
        <is>
          <t>Uplink</t>
        </is>
      </c>
      <c r="D19" s="9" t="inlineStr">
        <is>
          <t>Xử lý data 0x01</t>
        </is>
      </c>
      <c r="E19" s="9" t="inlineStr">
        <is>
          <t>Publish JSON data đầy đủ (node,soil,temp,hum,pump,battery,timestamp) + trả ACK.</t>
        </is>
      </c>
      <c r="F19" s="9" t="inlineStr">
        <is>
          <t>B01, C01</t>
        </is>
      </c>
    </row>
    <row r="20">
      <c r="B20" s="8" t="inlineStr">
        <is>
          <t>Gateway</t>
        </is>
      </c>
      <c r="C20" s="9" t="inlineStr">
        <is>
          <t>Uplink</t>
        </is>
      </c>
      <c r="D20" s="9" t="inlineStr">
        <is>
          <t>Compact 0x06 — merge theo presence</t>
        </is>
      </c>
      <c r="E20" s="9" t="inlineStr">
        <is>
          <t>Chỉ cập nhật field có bit presence = 1; field vắng giữ nguyên giá trị cũ.</t>
        </is>
      </c>
      <c r="F20" s="9" t="inlineStr">
        <is>
          <t>B02, B03, G07</t>
        </is>
      </c>
    </row>
    <row r="21">
      <c r="B21" s="8" t="inlineStr">
        <is>
          <t>Gateway</t>
        </is>
      </c>
      <c r="C21" s="9" t="inlineStr">
        <is>
          <t>Uplink</t>
        </is>
      </c>
      <c r="D21" s="9" t="inlineStr">
        <is>
          <t>Heartbeat 0x02 — không publish data</t>
        </is>
      </c>
      <c r="E21" s="9" t="inlineStr">
        <is>
          <t>Chỉ mark online + cập nhật last_seen; status 'online' chỉ publish khi node vừa offline.</t>
        </is>
      </c>
      <c r="F21" s="9" t="inlineStr">
        <is>
          <t>B04</t>
        </is>
      </c>
    </row>
    <row r="22">
      <c r="B22" s="8" t="inlineStr">
        <is>
          <t>Gateway</t>
        </is>
      </c>
      <c r="C22" s="9" t="inlineStr">
        <is>
          <t>Uplink</t>
        </is>
      </c>
      <c r="D22" s="9" t="inlineStr">
        <is>
          <t>Alarm 0x04 — cross-verify flags vs soil</t>
        </is>
      </c>
      <c r="E22" s="9" t="inlineStr">
        <is>
          <t>So 2 byte để chọn mã alarm (ưu tiên flags); KHÔNG ghi đè dữ liệu cảm biến từ alarm packet.</t>
        </is>
      </c>
      <c r="F22" s="9" t="inlineStr">
        <is>
          <t>B05, B06, C03</t>
        </is>
      </c>
    </row>
    <row r="23">
      <c r="B23" s="8" t="inlineStr">
        <is>
          <t>Gateway</t>
        </is>
      </c>
      <c r="C23" s="9" t="inlineStr">
        <is>
          <t>Slot</t>
        </is>
      </c>
      <c r="D23" s="9" t="inlineStr">
        <is>
          <t>Trục slot 96×15 phút</t>
        </is>
      </c>
      <c r="E23" s="9" t="inlineStr">
        <is>
          <t>slot_init/current/sync_reset/wrapped; nhận sync_slot reset t=0; broadcast biên 95→0 (dest 0xFF) lặp ~45 s trong ~5 phút.</t>
        </is>
      </c>
      <c r="F23" s="9" t="inlineStr">
        <is>
          <t>H01–H04, K05</t>
        </is>
      </c>
    </row>
    <row r="24">
      <c r="B24" s="8" t="inlineStr">
        <is>
          <t>Gateway</t>
        </is>
      </c>
      <c r="C24" s="9" t="inlineStr">
        <is>
          <t>Baseline</t>
        </is>
      </c>
      <c r="D24" s="9" t="inlineStr">
        <is>
          <t>Baseline manager 3 series</t>
        </is>
      </c>
      <c r="E24" s="9" t="inlineStr">
        <is>
          <t>Nhận set_baseline schema mới (1 message = 3 series) và schema cũ (1 series/message); validate t tăng dần, t∈[0,95], y∈[0,255], ≤96 điểm; giữ 1 phiên/node.</t>
        </is>
      </c>
      <c r="F24" s="9" t="inlineStr">
        <is>
          <t>I01, I02, G10</t>
        </is>
      </c>
    </row>
    <row r="25">
      <c r="B25" s="8" t="inlineStr">
        <is>
          <t>Gateway</t>
        </is>
      </c>
      <c r="C25" s="9" t="inlineStr">
        <is>
          <t>Baseline</t>
        </is>
      </c>
      <c r="D25" s="9" t="inlineStr">
        <is>
          <t>Phát chunk 0x07 ưu tiên</t>
        </is>
      </c>
      <c r="E25" s="9" t="inlineStr">
        <is>
          <t>3 chunk/lần flush, 10 điểm/chunk; phiên baseline được ưu tiên hơn lệnh thường khi cùng pending.</t>
        </is>
      </c>
      <c r="F25" s="9" t="inlineStr">
        <is>
          <t>I03, I11</t>
        </is>
      </c>
    </row>
    <row r="26">
      <c r="B26" s="8" t="inlineStr">
        <is>
          <t>Gateway</t>
        </is>
      </c>
      <c r="C26" s="9" t="inlineStr">
        <is>
          <t>Baseline</t>
        </is>
      </c>
      <c r="D26" s="9" t="inlineStr">
        <is>
          <t>Gửi TUẦN TỰ từng node (1 lượt/node)</t>
        </is>
      </c>
      <c r="E26" s="9" t="inlineStr">
        <is>
          <t>Hàng đợi lượt FIFO: node đầu tiên có dữ liệu giữ lượt cho tới khi xong (hoặc ngừng uplink 120 s); các node khác chỉ nhận ACK rỗng rồi chờ — không gửi chunk ồ ạt song song.</t>
        </is>
      </c>
      <c r="F26" s="9" t="inlineStr">
        <is>
          <t>I12</t>
        </is>
      </c>
    </row>
    <row r="27">
      <c r="B27" s="8" t="inlineStr">
        <is>
          <t>Gateway</t>
        </is>
      </c>
      <c r="C27" s="9" t="inlineStr">
        <is>
          <t>Baseline</t>
        </is>
      </c>
      <c r="D27" s="9" t="inlineStr">
        <is>
          <t>Buffer đủ cho 96 điểm/series × 11 node</t>
        </is>
      </c>
      <c r="E27" s="9" t="inlineStr">
        <is>
          <t>BASELINE_MAX_FRAME suy ra từ BASELINE_POINTS_PER_CHUNK (7+2n+1); mỗi node 1 phiên 3 series × 96 điểm (~620 B); 11 node ≈ 7 KB static — đủ chứa bảng tối đa của mọi node.</t>
        </is>
      </c>
      <c r="F27" s="9" t="inlineStr">
        <is>
          <t>I12, G06</t>
        </is>
      </c>
    </row>
    <row r="28">
      <c r="B28" s="8" t="inlineStr">
        <is>
          <t>Gateway</t>
        </is>
      </c>
      <c r="C28" s="9" t="inlineStr">
        <is>
          <t>Baseline</t>
        </is>
      </c>
      <c r="D28" s="9" t="inlineStr">
        <is>
          <t>Nhận done 0x08 → publish 'done'</t>
        </is>
      </c>
      <c r="E28" s="9" t="inlineStr">
        <is>
          <t>Mỗi series node lưu xong → publish irrigation/&lt;site&gt;/&lt;gw&gt;/node_&lt;n&gt;/baseline.</t>
        </is>
      </c>
      <c r="F28" s="9" t="inlineStr">
        <is>
          <t>I05, B09, C07</t>
        </is>
      </c>
    </row>
    <row r="29">
      <c r="B29" s="8" t="inlineStr">
        <is>
          <t>Gateway</t>
        </is>
      </c>
      <c r="C29" s="9" t="inlineStr">
        <is>
          <t>Config</t>
        </is>
      </c>
      <c r="D29" s="9" t="inlineStr">
        <is>
          <t>Topic builder + config NVS</t>
        </is>
      </c>
      <c r="E29" s="9" t="inlineStr">
        <is>
          <t>Build/parse mọi topic; lưu WiFi, MQTT, identity (site/gateway_id), danh sách node mặc định trong NVS.</t>
        </is>
      </c>
      <c r="F29" s="9" t="inlineStr">
        <is>
          <t>A02, C07</t>
        </is>
      </c>
    </row>
    <row r="30">
      <c r="B30" s="8" t="inlineStr">
        <is>
          <t>Gateway</t>
        </is>
      </c>
      <c r="C30" s="9" t="inlineStr">
        <is>
          <t>Certs</t>
        </is>
      </c>
      <c r="D30" s="9" t="inlineStr">
        <is>
          <t>Partition 'certs' + gen_certs_nvs.py</t>
        </is>
      </c>
      <c r="E30" s="9" t="inlineStr">
        <is>
          <t>Nạp/xoay X.509 cert độc lập với firmware (không đụng app).</t>
        </is>
      </c>
      <c r="F30" s="9" t="inlineStr">
        <is>
          <t>K01, K07</t>
        </is>
      </c>
    </row>
    <row r="31">
      <c r="B31" s="10" t="inlineStr">
        <is>
          <t>Node</t>
        </is>
      </c>
      <c r="C31" s="11" t="inlineStr">
        <is>
          <t>Sensor</t>
        </is>
      </c>
      <c r="D31" s="11" t="inlineStr">
        <is>
          <t>DHT22 + soil + battery</t>
        </is>
      </c>
      <c r="E31" s="11" t="inlineStr">
        <is>
          <t>DHT22 tối đa 3 lần đọc + checksum; soil ADC 16 mẫu trung bình; battery chia áp 2 (lỗi = 0xFF = nguồn ngoài).</t>
        </is>
      </c>
      <c r="F31" s="11" t="inlineStr">
        <is>
          <t>B01, E08, E09, G08</t>
        </is>
      </c>
    </row>
    <row r="32">
      <c r="B32" s="10" t="inlineStr">
        <is>
          <t>Node</t>
        </is>
      </c>
      <c r="C32" s="11" t="inlineStr">
        <is>
          <t>Power</t>
        </is>
      </c>
      <c r="D32" s="11" t="inlineStr">
        <is>
          <t>Deep sleep &lt; 100 µA</t>
        </is>
      </c>
      <c r="E32" s="11" t="inlineStr">
        <is>
          <t>MOSFET cấp nguồn cảm biến active-LOW + rtc_gpio_hold; LoRa sleep giữa chu kỳ; wake bằng timer + nút GPIO34 (EXT0).</t>
        </is>
      </c>
      <c r="F32" s="11" t="inlineStr">
        <is>
          <t>A05, E04</t>
        </is>
      </c>
    </row>
    <row r="33">
      <c r="B33" s="10" t="inlineStr">
        <is>
          <t>Node</t>
        </is>
      </c>
      <c r="C33" s="11" t="inlineStr">
        <is>
          <t>Mode</t>
        </is>
      </c>
      <c r="D33" s="11" t="inlineStr">
        <is>
          <t>3 chế độ Manual/Schedule/Threshold</t>
        </is>
      </c>
      <c r="E33" s="11" t="inlineStr">
        <is>
          <t>MANUAL (nút/lệnh), SCHEDULE (theo slot), THRESHOLD (theo độ ẩm đất, có hysteresis).</t>
        </is>
      </c>
      <c r="F33" s="11" t="inlineStr">
        <is>
          <t>E01, E02, D07</t>
        </is>
      </c>
    </row>
    <row r="34">
      <c r="B34" s="10" t="inlineStr">
        <is>
          <t>Node</t>
        </is>
      </c>
      <c r="C34" s="11" t="inlineStr">
        <is>
          <t>Mode</t>
        </is>
      </c>
      <c r="D34" s="11" t="inlineStr">
        <is>
          <t>Mode guard khi mất gateway</t>
        </is>
      </c>
      <c r="E34" s="11" t="inlineStr">
        <is>
          <t>Chỉ THRESHOLD fallback → SCHEDULE; MANUAL/SCHEDULE chỉ log warning; không tự khôi phục khi gateway trở lại.</t>
        </is>
      </c>
      <c r="F34" s="11" t="inlineStr">
        <is>
          <t>E05, E06</t>
        </is>
      </c>
    </row>
    <row r="35">
      <c r="B35" s="10" t="inlineStr">
        <is>
          <t>Node</t>
        </is>
      </c>
      <c r="C35" s="11" t="inlineStr">
        <is>
          <t>Schedule</t>
        </is>
      </c>
      <c r="D35" s="11" t="inlineStr">
        <is>
          <t>Tưới theo slot, 1 lần/ngày</t>
        </is>
      </c>
      <c r="E35" s="11" t="inlineStr">
        <is>
          <t>target_t = (h×60+m)/15; catch-up tối đa 1 slot; bộ đếm slotDay; KHÔNG dùng epoch/đồng hồ tuyệt đối.</t>
        </is>
      </c>
      <c r="F35" s="11" t="inlineStr">
        <is>
          <t>E03, D11</t>
        </is>
      </c>
    </row>
    <row r="36">
      <c r="B36" s="10" t="inlineStr">
        <is>
          <t>Node</t>
        </is>
      </c>
      <c r="C36" s="11" t="inlineStr">
        <is>
          <t>Schedule</t>
        </is>
      </c>
      <c r="D36" s="11" t="inlineStr">
        <is>
          <t>Midnight parking</t>
        </is>
      </c>
      <c r="E36" s="11" t="inlineStr">
        <is>
          <t>Rút ngắn giấc ngủ để thức trước biên 95→0 và nghe broadcast t=0.</t>
        </is>
      </c>
      <c r="F36" s="11" t="inlineStr">
        <is>
          <t>E11, H04</t>
        </is>
      </c>
    </row>
    <row r="37">
      <c r="B37" s="10" t="inlineStr">
        <is>
          <t>Node</t>
        </is>
      </c>
      <c r="C37" s="11" t="inlineStr">
        <is>
          <t>Timed-run</t>
        </is>
      </c>
      <c r="D37" s="11" t="inlineStr">
        <is>
          <t>Tưới có thời hạn trên RTC clock</t>
        </is>
      </c>
      <c r="E37" s="11" t="inlineStr">
        <is>
          <t>start_timed_run/cancel/remaining; deadline sống qua deep sleep; wake sớm vẫn giữ bơm ON; nút không huỷ run (BUTTON_OVERRIDES_TIMED_RUN=0).</t>
        </is>
      </c>
      <c r="F37" s="11" t="inlineStr">
        <is>
          <t>D03, D04, E04</t>
        </is>
      </c>
    </row>
    <row r="38">
      <c r="B38" s="10" t="inlineStr">
        <is>
          <t>Node</t>
        </is>
      </c>
      <c r="C38" s="11" t="inlineStr">
        <is>
          <t>Reporting</t>
        </is>
      </c>
      <c r="D38" s="11" t="inlineStr">
        <is>
          <t>FSM quyết định gửi</t>
        </is>
      </c>
      <c r="E38" s="11" t="inlineStr">
        <is>
          <t>Baseline 0x01 lần đầu → compact 0x06 khi vượt delta → heartbeat 0x02; không TX khi dữ liệu đứng yên.</t>
        </is>
      </c>
      <c r="F38" s="11" t="inlineStr">
        <is>
          <t>B01, B04, E07</t>
        </is>
      </c>
    </row>
    <row r="39">
      <c r="B39" s="10" t="inlineStr">
        <is>
          <t>Node</t>
        </is>
      </c>
      <c r="C39" s="11" t="inlineStr">
        <is>
          <t>Reporting</t>
        </is>
      </c>
      <c r="D39" s="11" t="inlineStr">
        <is>
          <t>Delta thresholds</t>
        </is>
      </c>
      <c r="E39" s="11" t="inlineStr">
        <is>
          <t>temp 2.0°C, hum 5%, soil 10%, battery 10%; thay đổi qua lệnh set_delta.</t>
        </is>
      </c>
      <c r="F39" s="11" t="inlineStr">
        <is>
          <t>E07, D08</t>
        </is>
      </c>
    </row>
    <row r="40">
      <c r="B40" s="10" t="inlineStr">
        <is>
          <t>Node</t>
        </is>
      </c>
      <c r="C40" s="11" t="inlineStr">
        <is>
          <t>Baseline</t>
        </is>
      </c>
      <c r="D40" s="11" t="inlineStr">
        <is>
          <t>Lưu &amp; nội suy baseline</t>
        </is>
      </c>
      <c r="E40" s="11" t="inlineStr">
        <is>
          <t>3 series trong NVS; nội suy từng đoạn, kẹp biên (không ngoại suy), làm tròn half-away-from-zero.</t>
        </is>
      </c>
      <c r="F40" s="11" t="inlineStr">
        <is>
          <t>I04, J06–J11</t>
        </is>
      </c>
    </row>
    <row r="41">
      <c r="B41" s="10" t="inlineStr">
        <is>
          <t>Node</t>
        </is>
      </c>
      <c r="C41" s="11" t="inlineStr">
        <is>
          <t>Baseline</t>
        </is>
      </c>
      <c r="D41" s="11" t="inlineStr">
        <is>
          <t>Gating theo tolerance</t>
        </is>
      </c>
      <c r="E41" s="11" t="inlineStr">
        <is>
          <t>Chỉ gửi khi |đo − nội suy| ≥ tolerance (temp=1, hum=2, soil=2); tắt khi chưa có slot/baseline.</t>
        </is>
      </c>
      <c r="F41" s="11" t="inlineStr">
        <is>
          <t>J01–J05, G14</t>
        </is>
      </c>
    </row>
    <row r="42">
      <c r="B42" s="10" t="inlineStr">
        <is>
          <t>Node</t>
        </is>
      </c>
      <c r="C42" s="11" t="inlineStr">
        <is>
          <t>Baseline</t>
        </is>
      </c>
      <c r="D42" s="11" t="inlineStr">
        <is>
          <t>Reassembly chunk 0x07</t>
        </is>
      </c>
      <c r="E42" s="11" t="inlineStr">
        <is>
          <t>Mask 16 bit, ≤10 chunk/series; bỏ chunk trùng seq và chunk version cũ; CRC sai bị bỏ qua rồi REQ lại.</t>
        </is>
      </c>
      <c r="F42" s="11" t="inlineStr">
        <is>
          <t>I04, G11, G12, I07</t>
        </is>
      </c>
    </row>
    <row r="43">
      <c r="B43" s="10" t="inlineStr">
        <is>
          <t>Node</t>
        </is>
      </c>
      <c r="C43" s="11" t="inlineStr">
        <is>
          <t>Baseline</t>
        </is>
      </c>
      <c r="D43" s="11" t="inlineStr">
        <is>
          <t>Boot-sync + safety cap 15 phút</t>
        </is>
      </c>
      <c r="E43" s="11" t="inlineStr">
        <is>
          <t>Cold boot gửi REQ 0x09 (flags + series_mask); nghe lặp có giới hạn an toàn; wake thường bỏ qua boot-sync.</t>
        </is>
      </c>
      <c r="F43" s="11" t="inlineStr">
        <is>
          <t>A01, A05, H05, I08, I10</t>
        </is>
      </c>
    </row>
    <row r="44">
      <c r="B44" s="10" t="inlineStr">
        <is>
          <t>Node</t>
        </is>
      </c>
      <c r="C44" s="11" t="inlineStr">
        <is>
          <t>Command</t>
        </is>
      </c>
      <c r="D44" s="11" t="inlineStr">
        <is>
          <t>Nhận lệnh, dedup, ACK</t>
        </is>
      </c>
      <c r="E44" s="11" t="inlineStr">
        <is>
          <t>Frame 7 byte; kiểm node-id + CRC; dedup lệnh trùng; ACK 0x03; 0x09 keep-alive không ACK; set_interval bị bỏ qua.</t>
        </is>
      </c>
      <c r="F44" s="11" t="inlineStr">
        <is>
          <t>D01–D11, B07, G02, G09</t>
        </is>
      </c>
    </row>
    <row r="45">
      <c r="B45" s="10" t="inlineStr">
        <is>
          <t>Node</t>
        </is>
      </c>
      <c r="C45" s="11" t="inlineStr">
        <is>
          <t>Alarm</t>
        </is>
      </c>
      <c r="D45" s="11" t="inlineStr">
        <is>
          <t>5 mã cảnh báo + LED</t>
        </is>
      </c>
      <c r="E45" s="11" t="inlineStr">
        <is>
          <t>sensor error(1), soil out range(2), relay error(3), low battery(4), gateway lost(5); edge-triggered set/clear; NVS + boot recovery.</t>
        </is>
      </c>
      <c r="F45" s="11" t="inlineStr">
        <is>
          <t>E08, E09, E10, C03</t>
        </is>
      </c>
    </row>
    <row r="46">
      <c r="B46" s="10" t="inlineStr">
        <is>
          <t>Node</t>
        </is>
      </c>
      <c r="C46" s="11" t="inlineStr">
        <is>
          <t>Alarm</t>
        </is>
      </c>
      <c r="D46" s="11" t="inlineStr">
        <is>
          <t>Gateway lost → alarm 0x05</t>
        </is>
      </c>
      <c r="E46" s="11" t="inlineStr">
        <is>
          <t>Không downlink trong 600 s → gatewayLostCount++; đạt 3 → FLAG_GATEWAY_LOST + alarm + fallback mode.</t>
        </is>
      </c>
      <c r="F46" s="11" t="inlineStr">
        <is>
          <t>E06, F07</t>
        </is>
      </c>
    </row>
    <row r="47">
      <c r="B47" s="10" t="inlineStr">
        <is>
          <t>Node</t>
        </is>
      </c>
      <c r="C47" s="11" t="inlineStr">
        <is>
          <t>Time</t>
        </is>
      </c>
      <c r="D47" s="11" t="inlineStr">
        <is>
          <t>RTC clock xuyên deep sleep</t>
        </is>
      </c>
      <c r="E47" s="11" t="inlineStr">
        <is>
          <t>esp_clk_rtc_time() + hiệu chuẩn RTC_SLOW_CLK; slot tiến theo delta thực (config_advance_slot_us).</t>
        </is>
      </c>
      <c r="F47" s="11" t="inlineStr">
        <is>
          <t>H06, A05</t>
        </is>
      </c>
    </row>
    <row r="48">
      <c r="B48" s="10" t="inlineStr">
        <is>
          <t>Node</t>
        </is>
      </c>
      <c r="C48" s="11" t="inlineStr">
        <is>
          <t>Config</t>
        </is>
      </c>
      <c r="D48" s="11" t="inlineStr">
        <is>
          <t>RTC memory + NVS</t>
        </is>
      </c>
      <c r="E48" s="11" t="inlineStr">
        <is>
          <t>app_config_t (magic 'IRRG') + NVS cho ngưỡng/delta/schedule/alarm state; giữ qua deep sleep/reset.</t>
        </is>
      </c>
      <c r="F48" s="11" t="inlineStr">
        <is>
          <t>(tiền đề nhiều TC)</t>
        </is>
      </c>
    </row>
    <row r="49">
      <c r="B49" s="10" t="inlineStr">
        <is>
          <t>Node</t>
        </is>
      </c>
      <c r="C49" s="11" t="inlineStr">
        <is>
          <t>Pump</t>
        </is>
      </c>
      <c r="D49" s="11" t="inlineStr">
        <is>
          <t>CD4013 latch + xác nhận trạng thái</t>
        </is>
      </c>
      <c r="E49" s="11" t="inlineStr">
        <is>
          <t>Xung 20 ms để toggle; đọc lại xác nhận; đồng bộ trạng thái cold-boot theo loại reset.</t>
        </is>
      </c>
      <c r="F49" s="11" t="inlineStr">
        <is>
          <t>E01, E02, E10, D03, D04</t>
        </is>
      </c>
    </row>
    <row r="50">
      <c r="B50" s="10" t="inlineStr">
        <is>
          <t>Node</t>
        </is>
      </c>
      <c r="C50" s="11" t="inlineStr">
        <is>
          <t>Sleep</t>
        </is>
      </c>
      <c r="D50" s="11" t="inlineStr">
        <is>
          <t>Chu kỳ ngủ CỐ ĐỊNH 300 s</t>
        </is>
      </c>
      <c r="E50" s="11" t="inlineStr">
        <is>
          <t>NODE_SLEEP_INTERVAL_S = 300 để khớp 3 chu kỳ = 1 slot 15 phút; lệnh set_interval bị bỏ qua (vẫn ACK).</t>
        </is>
      </c>
      <c r="F50" s="11" t="inlineStr">
        <is>
          <t>D02</t>
        </is>
      </c>
    </row>
    <row r="51">
      <c r="B51" s="12" t="inlineStr">
        <is>
          <t>Chung</t>
        </is>
      </c>
      <c r="C51" s="13" t="inlineStr">
        <is>
          <t>Protocol</t>
        </is>
      </c>
      <c r="D51" s="13" t="inlineStr">
        <is>
          <t>Uplink packet types</t>
        </is>
      </c>
      <c r="E51" s="13" t="inlineStr">
        <is>
          <t>0x01 data, 0x02 heartbeat, 0x03 ACK, 0x04 alarm, 0x06 compact, 0x08 baseline done, 0x09 REQ.</t>
        </is>
      </c>
      <c r="F51" s="13" t="inlineStr">
        <is>
          <t>B01–B09</t>
        </is>
      </c>
    </row>
    <row r="52">
      <c r="B52" s="12" t="inlineStr">
        <is>
          <t>Chung</t>
        </is>
      </c>
      <c r="C52" s="13" t="inlineStr">
        <is>
          <t>Protocol</t>
        </is>
      </c>
      <c r="D52" s="13" t="inlineStr">
        <is>
          <t>Downlink packet types</t>
        </is>
      </c>
      <c r="E52" s="13" t="inlineStr">
        <is>
          <t>0x05 command (7 byte), 0x07 baseline chunk (biến đổi ≤ 28 byte).</t>
        </is>
      </c>
      <c r="F52" s="13" t="inlineStr">
        <is>
          <t>H02, I03</t>
        </is>
      </c>
    </row>
    <row r="53">
      <c r="B53" s="12" t="inlineStr">
        <is>
          <t>Chung</t>
        </is>
      </c>
      <c r="C53" s="13" t="inlineStr">
        <is>
          <t>Protocol</t>
        </is>
      </c>
      <c r="D53" s="13" t="inlineStr">
        <is>
          <t>CRC8 = XOR</t>
        </is>
      </c>
      <c r="E53" s="13" t="inlineStr">
        <is>
          <t>Kiểm CRC mọi frame; sai thì bỏ qua (uplink) hoặc không thực thi (downlink).</t>
        </is>
      </c>
      <c r="F53" s="13" t="inlineStr">
        <is>
          <t>G01, G11</t>
        </is>
      </c>
    </row>
    <row r="54">
      <c r="B54" s="12" t="inlineStr">
        <is>
          <t>Chung</t>
        </is>
      </c>
      <c r="C54" s="13" t="inlineStr">
        <is>
          <t>Protocol</t>
        </is>
      </c>
      <c r="D54" s="13" t="inlineStr">
        <is>
          <t>Flags &amp; presence bitmask</t>
        </is>
      </c>
      <c r="E54" s="13" t="inlineStr">
        <is>
          <t>flags: pump/threshold/gw_lost/sensor_ok; presence: temp/hum/soil/battery/flags.</t>
        </is>
      </c>
      <c r="F54" s="13" t="inlineStr">
        <is>
          <t>B02, B05</t>
        </is>
      </c>
    </row>
    <row r="55">
      <c r="B55" s="12" t="inlineStr">
        <is>
          <t>Chung</t>
        </is>
      </c>
      <c r="C55" s="13" t="inlineStr">
        <is>
          <t>MQTT</t>
        </is>
      </c>
      <c r="D55" s="13" t="inlineStr">
        <is>
          <t>Topic &amp; payload</t>
        </is>
      </c>
      <c r="E55" s="13" t="inlineStr">
        <is>
          <t>data/status/alarm/baseline/cmd + gateway status; schema theo MAPPING_GIAO_THUC_MQTT.md.</t>
        </is>
      </c>
      <c r="F55" s="13" t="inlineStr">
        <is>
          <t>C01–C07, K02</t>
        </is>
      </c>
    </row>
    <row r="56">
      <c r="B56" s="12" t="inlineStr">
        <is>
          <t>Chung</t>
        </is>
      </c>
      <c r="C56" s="13" t="inlineStr">
        <is>
          <t>Tools</t>
        </is>
      </c>
      <c r="D56" s="13" t="inlineStr">
        <is>
          <t>Server simulator</t>
        </is>
      </c>
      <c r="E56" s="13" t="inlineStr">
        <is>
          <t>mqtt_server_sim.py: listen mode, suite mode (PASS/FAIL + report), check-schema; kèm các suite JSON.</t>
        </is>
      </c>
      <c r="F56" s="13" t="inlineStr">
        <is>
          <t>(verify)</t>
        </is>
      </c>
    </row>
    <row r="58">
      <c r="B58" s="2" t="inlineStr">
        <is>
          <t>Tổng số tính năng liệt kê: 51  —  các nhóm test case A–K trong sheet 'Test Cases' bao phủ toàn bộ danh mục này.</t>
        </is>
      </c>
    </row>
  </sheetData>
  <autoFilter ref="B5:F56"/>
  <mergeCells count="3">
    <mergeCell ref="B2:F2"/>
    <mergeCell ref="B58:F58"/>
    <mergeCell ref="B3:F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G41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6" customWidth="1" min="2" max="2"/>
    <col width="14" customWidth="1" min="3" max="3"/>
    <col width="26" customWidth="1" min="4" max="4"/>
    <col width="88" customWidth="1" min="5" max="5"/>
    <col width="34" customWidth="1" min="6" max="6"/>
    <col width="14" customWidth="1" min="7" max="7"/>
  </cols>
  <sheetData>
    <row r="2">
      <c r="B2" s="1" t="inlineStr">
        <is>
          <t>Lệnh test MQTT — HiveMQ Cloud (user/pass TLS 8883)</t>
        </is>
      </c>
    </row>
    <row r="3">
      <c r="B3" s="2" t="inlineStr">
        <is>
          <t>Chạy trong PowerShell: set biến ở dòng 'Setup' trước rồi copy các lệnh bên dưới. Node thức mỗi 300 s và chỉ mở cửa sổ downlink 800 ms sau mỗi uplink — muốn lệnh xuống ngay, nhấn nút GPIO34 trên node để ép 1 uplink.</t>
        </is>
      </c>
    </row>
    <row r="5">
      <c r="A5" s="3" t="n"/>
      <c r="B5" s="3" t="inlineStr">
        <is>
          <t>STT</t>
        </is>
      </c>
      <c r="C5" s="3" t="inlineStr">
        <is>
          <t>Nhóm</t>
        </is>
      </c>
      <c r="D5" s="3" t="inlineStr">
        <is>
          <t>Mục đích</t>
        </is>
      </c>
      <c r="E5" s="3" t="inlineStr">
        <is>
          <t>Lệnh (PowerShell)</t>
        </is>
      </c>
      <c r="F5" s="3" t="inlineStr">
        <is>
          <t>Kết quả mong đợi</t>
        </is>
      </c>
      <c r="G5" s="3" t="inlineStr">
        <is>
          <t>Mã TC</t>
        </is>
      </c>
    </row>
    <row r="6">
      <c r="B6" s="14" t="n">
        <v>1</v>
      </c>
      <c r="C6" s="14" t="inlineStr">
        <is>
          <t>Setup</t>
        </is>
      </c>
      <c r="D6" s="14" t="inlineStr">
        <is>
          <t>Khai báo biến môi trường (PowerShell)</t>
        </is>
      </c>
      <c r="E6" s="15" t="inlineStr">
        <is>
          <t>$HOST='d246c46a2ebe40d2ae0c787f92bfdbab.s1.eu.hivemq.cloud'; $USER='hivemq.webclient.1742180699133'; $PASS='#x1V7:H62pCZ%e&amp;nGkgR'; $T='irrigation/HCM/gw_01'</t>
        </is>
      </c>
      <c r="F6" s="14" t="inlineStr">
        <is>
          <t>Dùng lại cho mọi lệnh bên dưới</t>
        </is>
      </c>
      <c r="G6" s="14" t="inlineStr">
        <is>
          <t>-</t>
        </is>
      </c>
    </row>
    <row r="7">
      <c r="B7" s="9" t="n">
        <v>2</v>
      </c>
      <c r="C7" s="9" t="inlineStr">
        <is>
          <t>Listen</t>
        </is>
      </c>
      <c r="D7" s="9" t="inlineStr">
        <is>
          <t>Nghe MỌI topic của gateway</t>
        </is>
      </c>
      <c r="E7" s="16" t="inlineStr">
        <is>
          <t>mosquitto_sub -h $HOST -p 8883 --tls-use-os-certs -u $USER -P $PASS -t "$T/#" -v</t>
        </is>
      </c>
      <c r="F7" s="9" t="inlineStr">
        <is>
          <t>status / data / alarm / baseline realtime</t>
        </is>
      </c>
      <c r="G7" s="9" t="inlineStr">
        <is>
          <t>K01–K06</t>
        </is>
      </c>
    </row>
    <row r="8">
      <c r="B8" s="9" t="n">
        <v>3</v>
      </c>
      <c r="C8" s="9" t="inlineStr">
        <is>
          <t>Listen</t>
        </is>
      </c>
      <c r="D8" s="9" t="inlineStr">
        <is>
          <t>Nghe status gateway (heartbeat + LWT)</t>
        </is>
      </c>
      <c r="E8" s="16" t="inlineStr">
        <is>
          <t>mosquitto_sub -h $HOST -p 8883 --tls-use-os-certs -u $USER -P $PASS -t "$T/status" -v</t>
        </is>
      </c>
      <c r="F8" s="9" t="inlineStr">
        <is>
          <t>online mỗi 60 s; offline khi ngắt gateway</t>
        </is>
      </c>
      <c r="G8" s="9" t="inlineStr">
        <is>
          <t>K03, K04</t>
        </is>
      </c>
    </row>
    <row r="9">
      <c r="B9" s="9" t="n">
        <v>4</v>
      </c>
      <c r="C9" s="9" t="inlineStr">
        <is>
          <t>Listen</t>
        </is>
      </c>
      <c r="D9" s="9" t="inlineStr">
        <is>
          <t>Nghe data node 1</t>
        </is>
      </c>
      <c r="E9" s="16" t="inlineStr">
        <is>
          <t>mosquitto_sub -h $HOST -p 8883 --tls-use-os-certs -u $USER -P $PASS -t "$T/node_01/data" -v</t>
        </is>
      </c>
      <c r="F9" s="9" t="inlineStr">
        <is>
          <t>JSON data mỗi lần node uplink</t>
        </is>
      </c>
      <c r="G9" s="9" t="inlineStr">
        <is>
          <t>K02</t>
        </is>
      </c>
    </row>
    <row r="10">
      <c r="B10" s="9" t="n">
        <v>5</v>
      </c>
      <c r="C10" s="9" t="inlineStr">
        <is>
          <t>Listen</t>
        </is>
      </c>
      <c r="D10" s="9" t="inlineStr">
        <is>
          <t>Nghe baseline node 1</t>
        </is>
      </c>
      <c r="E10" s="16" t="inlineStr">
        <is>
          <t>mosquitto_sub -h $HOST -p 8883 --tls-use-os-certs -u $USER -P $PASS -t "$T/node_01/baseline" -v</t>
        </is>
      </c>
      <c r="F10" s="9" t="inlineStr">
        <is>
          <t>request + done ×3</t>
        </is>
      </c>
      <c r="G10" s="9" t="inlineStr">
        <is>
          <t>K06</t>
        </is>
      </c>
    </row>
    <row r="11">
      <c r="B11" s="11" t="n">
        <v>6</v>
      </c>
      <c r="C11" s="11" t="inlineStr">
        <is>
          <t>Lệnh</t>
        </is>
      </c>
      <c r="D11" s="11" t="inlineStr">
        <is>
          <t>report — ép gửi data ngay</t>
        </is>
      </c>
      <c r="E11" s="17" t="inlineStr">
        <is>
          <t>mosquitto_pub -h $HOST -p 8883 --tls-use-os-certs -u $USER -P $PASS -t "$T/node_01/cmd" -m '{"cmd":"report"}'</t>
        </is>
      </c>
      <c r="F11" s="11" t="inlineStr">
        <is>
          <t>Nhấn nút GPIO34 → data mới trong vài giây</t>
        </is>
      </c>
      <c r="G11" s="11" t="inlineStr">
        <is>
          <t>D05</t>
        </is>
      </c>
    </row>
    <row r="12">
      <c r="B12" s="11" t="n">
        <v>7</v>
      </c>
      <c r="C12" s="11" t="inlineStr">
        <is>
          <t>Lệnh</t>
        </is>
      </c>
      <c r="D12" s="11" t="inlineStr">
        <is>
          <t>toggle — đảo trạng thái bơm</t>
        </is>
      </c>
      <c r="E12" s="17" t="inlineStr">
        <is>
          <t>mosquitto_pub -h $HOST -p 8883 --tls-use-os-certs -u $USER -P $PASS -t "$T/node_01/cmd" -m '{"cmd":"toggle"}'</t>
        </is>
      </c>
      <c r="F12" s="11" t="inlineStr">
        <is>
          <t>pump đổi 1 lần; gửi lặp → dedup</t>
        </is>
      </c>
      <c r="G12" s="11" t="inlineStr">
        <is>
          <t>D06, F01</t>
        </is>
      </c>
    </row>
    <row r="13">
      <c r="B13" s="11" t="n">
        <v>8</v>
      </c>
      <c r="C13" s="11" t="inlineStr">
        <is>
          <t>Lệnh</t>
        </is>
      </c>
      <c r="D13" s="11" t="inlineStr">
        <is>
          <t>on duration=60 (timed-run)</t>
        </is>
      </c>
      <c r="E13" s="17" t="inlineStr">
        <is>
          <t>mosquitto_pub -h $HOST -p 8883 --tls-use-os-certs -u $USER -P $PASS -t "$T/node_01/cmd" -m '{"cmd":"on","duration":60}'</t>
        </is>
      </c>
      <c r="F13" s="11" t="inlineStr">
        <is>
          <t>pump:1 rồi tự tắt sau 60 s</t>
        </is>
      </c>
      <c r="G13" s="11" t="inlineStr">
        <is>
          <t>D03</t>
        </is>
      </c>
    </row>
    <row r="14">
      <c r="B14" s="11" t="n">
        <v>9</v>
      </c>
      <c r="C14" s="11" t="inlineStr">
        <is>
          <t>Lệnh</t>
        </is>
      </c>
      <c r="D14" s="11" t="inlineStr">
        <is>
          <t>off — tắt bơm + huỷ timed-run</t>
        </is>
      </c>
      <c r="E14" s="17" t="inlineStr">
        <is>
          <t>mosquitto_pub -h $HOST -p 8883 --tls-use-os-certs -u $USER -P $PASS -t "$T/node_01/cmd" -m '{"cmd":"off"}'</t>
        </is>
      </c>
      <c r="F14" s="11" t="inlineStr">
        <is>
          <t>pump:0; interval về 300 s</t>
        </is>
      </c>
      <c r="G14" s="11" t="inlineStr">
        <is>
          <t>D04</t>
        </is>
      </c>
    </row>
    <row r="15">
      <c r="B15" s="11" t="n">
        <v>10</v>
      </c>
      <c r="C15" s="11" t="inlineStr">
        <is>
          <t>Lệnh</t>
        </is>
      </c>
      <c r="D15" s="11" t="inlineStr">
        <is>
          <t>set_threshold 20–80</t>
        </is>
      </c>
      <c r="E15" s="17" t="inlineStr">
        <is>
          <t>mosquitto_pub -h $HOST -p 8883 --tls-use-os-certs -u $USER -P $PASS -t "$T/node_01/cmd" -m '{"cmd":"set_threshold","low":20,"high":80}'</t>
        </is>
      </c>
      <c r="F15" s="11" t="inlineStr">
        <is>
          <t>node log Low=20% High=80% + ACK</t>
        </is>
      </c>
      <c r="G15" s="11" t="inlineStr">
        <is>
          <t>D01, B07</t>
        </is>
      </c>
    </row>
    <row r="16">
      <c r="B16" s="11" t="n">
        <v>11</v>
      </c>
      <c r="C16" s="11" t="inlineStr">
        <is>
          <t>Lệnh</t>
        </is>
      </c>
      <c r="D16" s="11" t="inlineStr">
        <is>
          <t>set_delta soil = 5%</t>
        </is>
      </c>
      <c r="E16" s="17" t="inlineStr">
        <is>
          <t>mosquitto_pub -h $HOST -p 8883 --tls-use-os-certs -u $USER -P $PASS -t "$T/node_01/cmd" -m '{"cmd":"set_delta","type":2,"value":5}'</t>
        </is>
      </c>
      <c r="F16" s="11" t="inlineStr">
        <is>
          <t>node lưu delta soil = 5</t>
        </is>
      </c>
      <c r="G16" s="11" t="inlineStr">
        <is>
          <t>D08</t>
        </is>
      </c>
    </row>
    <row r="17">
      <c r="B17" s="11" t="n">
        <v>12</v>
      </c>
      <c r="C17" s="11" t="inlineStr">
        <is>
          <t>Lệnh</t>
        </is>
      </c>
      <c r="D17" s="11" t="inlineStr">
        <is>
          <t>set_mode = 2 (THRESHOLD)</t>
        </is>
      </c>
      <c r="E17" s="17" t="inlineStr">
        <is>
          <t>mosquitto_pub -h $HOST -p 8883 --tls-use-os-certs -u $USER -P $PASS -t "$T/node_01/cmd" -m '{"cmd":"set_mode","mode":2}'</t>
        </is>
      </c>
      <c r="F17" s="11" t="inlineStr">
        <is>
          <t>node log 'Set mode = 2'</t>
        </is>
      </c>
      <c r="G17" s="11" t="inlineStr">
        <is>
          <t>D07</t>
        </is>
      </c>
    </row>
    <row r="18">
      <c r="B18" s="11" t="n">
        <v>13</v>
      </c>
      <c r="C18" s="11" t="inlineStr">
        <is>
          <t>Lệnh</t>
        </is>
      </c>
      <c r="D18" s="11" t="inlineStr">
        <is>
          <t>set_schedule 06:00</t>
        </is>
      </c>
      <c r="E18" s="17" t="inlineStr">
        <is>
          <t>mosquitto_pub -h $HOST -p 8883 --tls-use-os-certs -u $USER -P $PASS -t "$T/node_01/cmd" -m '{"cmd":"set_schedule","hour":6,"minute":0}'</t>
        </is>
      </c>
      <c r="F18" s="11" t="inlineStr">
        <is>
          <t>node log schedule → slot t=24</t>
        </is>
      </c>
      <c r="G18" s="11" t="inlineStr">
        <is>
          <t>D11</t>
        </is>
      </c>
    </row>
    <row r="19">
      <c r="B19" s="11" t="n">
        <v>14</v>
      </c>
      <c r="C19" s="11" t="inlineStr">
        <is>
          <t>Lệnh</t>
        </is>
      </c>
      <c r="D19" s="11" t="inlineStr">
        <is>
          <t>set_interval=600 (node bỏ qua)</t>
        </is>
      </c>
      <c r="E19" s="17" t="inlineStr">
        <is>
          <t>mosquitto_pub -h $HOST -p 8883 --tls-use-os-certs -u $USER -P $PASS -t "$T/node_01/cmd" -m '{"cmd":"set_interval","value":600}'</t>
        </is>
      </c>
      <c r="F19" s="11" t="inlineStr">
        <is>
          <t>log IGNORED nhưng vẫn ACK; chu kỳ vẫn 300 s</t>
        </is>
      </c>
      <c r="G19" s="11" t="inlineStr">
        <is>
          <t>D02</t>
        </is>
      </c>
    </row>
    <row r="20">
      <c r="B20" s="13" t="n">
        <v>15</v>
      </c>
      <c r="C20" s="13" t="inlineStr">
        <is>
          <t>Config</t>
        </is>
      </c>
      <c r="D20" s="13" t="inlineStr">
        <is>
          <t>sync_slot — reset mốc t=0 (gateway-level)</t>
        </is>
      </c>
      <c r="E20" s="18" t="inlineStr">
        <is>
          <t>mosquitto_pub -h $HOST -p 8883 --tls-use-os-certs -u $USER -P $PASS -t "$T/node_FF/cmd" -m '{"cmd":"sync_slot","slot_ms":900000}'</t>
        </is>
      </c>
      <c r="F20" s="13" t="inlineStr">
        <is>
          <t>gateway log 'base reset to 0'; downlink kế mang slot nhỏ</t>
        </is>
      </c>
      <c r="G20" s="13" t="inlineStr">
        <is>
          <t>H01, K05</t>
        </is>
      </c>
    </row>
    <row r="21">
      <c r="B21" s="19" t="n">
        <v>16</v>
      </c>
      <c r="C21" s="19" t="inlineStr">
        <is>
          <t>Baseline</t>
        </is>
      </c>
      <c r="D21" s="19" t="inlineStr">
        <is>
          <t>Cấp baseline 3 series (schema MỚI)</t>
        </is>
      </c>
      <c r="E21" s="20" t="inlineStr">
        <is>
          <t>mosquitto_pub -h $HOST -p 8883 --tls-use-os-certs -u $USER -P $PASS -t "$T/node_01/cmd" -m '{"cmd":"set_baseline","version":1,"series":[[[0,68],[32,70],[95,60]],[[0,60],[32,65],[95,80]],[[0,40],[32,45],[95,55]]]}'</t>
        </is>
      </c>
      <c r="F21" s="19" t="inlineStr">
        <is>
          <t>gateway lưu 3 series; node commit mask=0x07; nhận 'done' ×3</t>
        </is>
      </c>
      <c r="G21" s="19" t="inlineStr">
        <is>
          <t>I01, F08, K06</t>
        </is>
      </c>
    </row>
    <row r="22">
      <c r="B22" s="19" t="n">
        <v>17</v>
      </c>
      <c r="C22" s="19" t="inlineStr">
        <is>
          <t>Baseline</t>
        </is>
      </c>
      <c r="D22" s="19" t="inlineStr">
        <is>
          <t>Cấp baseline 1 series (schema CŨ)</t>
        </is>
      </c>
      <c r="E22" s="20" t="inlineStr">
        <is>
          <t>mosquitto_pub -h $HOST -p 8883 --tls-use-os-certs -u $USER -P $PASS -t "$T/node_01/cmd" -m '{"cmd":"set_baseline","series":2,"version":1,"points":[[0,40],[32,45],[95,55]]}'</t>
        </is>
      </c>
      <c r="F22" s="19" t="inlineStr">
        <is>
          <t>gateway log 'Baseline accepted ... series=2'</t>
        </is>
      </c>
      <c r="G22" s="19" t="inlineStr">
        <is>
          <t>I02</t>
        </is>
      </c>
    </row>
    <row r="23">
      <c r="B23" s="21" t="n">
        <v>18</v>
      </c>
      <c r="C23" s="21" t="inlineStr">
        <is>
          <t>Negative</t>
        </is>
      </c>
      <c r="D23" s="21" t="inlineStr">
        <is>
          <t>Lệnh lạ</t>
        </is>
      </c>
      <c r="E23" s="22" t="inlineStr">
        <is>
          <t>mosquitto_pub -h $HOST -p 8883 --tls-use-os-certs -u $USER -P $PASS -t "$T/node_01/cmd" -m '{"cmd":"do_thing"}'</t>
        </is>
      </c>
      <c r="F23" s="21" t="inlineStr">
        <is>
          <t>gateway log 'Unknown command' (không forward)</t>
        </is>
      </c>
      <c r="G23" s="21" t="inlineStr">
        <is>
          <t>G04</t>
        </is>
      </c>
    </row>
    <row r="24">
      <c r="B24" s="21" t="n">
        <v>19</v>
      </c>
      <c r="C24" s="21" t="inlineStr">
        <is>
          <t>Negative</t>
        </is>
      </c>
      <c r="D24" s="21" t="inlineStr">
        <is>
          <t>JSON thiếu 'cmd'</t>
        </is>
      </c>
      <c r="E24" s="22" t="inlineStr">
        <is>
          <t>mosquitto_pub -h $HOST -p 8883 --tls-use-os-certs -u $USER -P $PASS -t "$T/node_01/cmd" -m '{"foo":1}'</t>
        </is>
      </c>
      <c r="F24" s="21" t="inlineStr">
        <is>
          <t>gateway log 'missing cmd' (không cache)</t>
        </is>
      </c>
      <c r="G24" s="21" t="inlineStr">
        <is>
          <t>G03</t>
        </is>
      </c>
    </row>
    <row r="25">
      <c r="B25" s="21" t="n">
        <v>20</v>
      </c>
      <c r="C25" s="21" t="inlineStr">
        <is>
          <t>Negative</t>
        </is>
      </c>
      <c r="D25" s="21" t="inlineStr">
        <is>
          <t>set_threshold low &gt;= high</t>
        </is>
      </c>
      <c r="E25" s="22" t="inlineStr">
        <is>
          <t>mosquitto_pub -h $HOST -p 8883 --tls-use-os-certs -u $USER -P $PASS -t "$T/node_01/cmd" -m '{"cmd":"set_threshold","low":80,"high":80}'</t>
        </is>
      </c>
      <c r="F25" s="21" t="inlineStr">
        <is>
          <t>local reject; ngưỡng cũ giữ nguyên</t>
        </is>
      </c>
      <c r="G25" s="21" t="inlineStr">
        <is>
          <t>G05</t>
        </is>
      </c>
    </row>
    <row r="26">
      <c r="B26" s="23" t="n">
        <v>21</v>
      </c>
      <c r="C26" s="23" t="inlineStr">
        <is>
          <t>Demo alarm</t>
        </is>
      </c>
      <c r="D26" s="23" t="inlineStr">
        <is>
          <t>Ép vượt ngưỡng để thấy alarm</t>
        </is>
      </c>
      <c r="E26" s="24" t="inlineStr">
        <is>
          <t>mosquitto_pub -h $HOST -p 8883 --tls-use-os-certs -u $USER -P $PASS -t "$T/node_01/cmd" -m '{"cmd":"set_threshold","low":90,"high":95}'  → chờ node uplink</t>
        </is>
      </c>
      <c r="F26" s="23" t="inlineStr">
        <is>
          <t>data threshold_exceeded:true + alarm 'Sensor alarm triggered'</t>
        </is>
      </c>
      <c r="G26" s="23" t="inlineStr">
        <is>
          <t>C02, F02</t>
        </is>
      </c>
    </row>
    <row r="27">
      <c r="B27" s="25" t="n">
        <v>22</v>
      </c>
      <c r="C27" s="25" t="inlineStr">
        <is>
          <t>Suite</t>
        </is>
      </c>
      <c r="D27" s="25" t="inlineStr">
        <is>
          <t>Baseline provisioning (tự động)</t>
        </is>
      </c>
      <c r="E27" s="26" t="inlineStr">
        <is>
          <t>python mqtt_server_sim.py --broker mqtts://$HOST --port 8883 --user $USER --pass "$PASS" --site HCM --gw gw_01 --nodes 1,2 --suite suites/baseline_provision.json</t>
        </is>
      </c>
      <c r="F27" s="25" t="inlineStr">
        <is>
          <t>PASS/FAIL từng bước + report</t>
        </is>
      </c>
      <c r="G27" s="25" t="inlineStr">
        <is>
          <t>F08, I01–I05</t>
        </is>
      </c>
    </row>
    <row r="28">
      <c r="B28" s="25" t="n">
        <v>23</v>
      </c>
      <c r="C28" s="25" t="inlineStr">
        <is>
          <t>Suite</t>
        </is>
      </c>
      <c r="D28" s="25" t="inlineStr">
        <is>
          <t>Slot sync + regression</t>
        </is>
      </c>
      <c r="E28" s="26" t="inlineStr">
        <is>
          <t>python mqtt_server_sim.py --broker mqtts://$HOST --port 8883 --user $USER --pass "$PASS" --site HCM --gw gw_01 --nodes 1,2 --suite suites/slot_sync.json</t>
        </is>
      </c>
      <c r="F28" s="25" t="inlineStr">
        <is>
          <t>PASS/FAIL từng bước</t>
        </is>
      </c>
      <c r="G28" s="25" t="inlineStr">
        <is>
          <t>H01–H03</t>
        </is>
      </c>
    </row>
    <row r="29">
      <c r="B29" s="25" t="n">
        <v>24</v>
      </c>
      <c r="C29" s="25" t="inlineStr">
        <is>
          <t>Suite</t>
        </is>
      </c>
      <c r="D29" s="25" t="inlineStr">
        <is>
          <t>Commands (set_threshold/toggle/...)</t>
        </is>
      </c>
      <c r="E29" s="26" t="inlineStr">
        <is>
          <t>python mqtt_server_sim.py --broker mqtts://$HOST --port 8883 --user $USER --pass "$PASS" --site HCM --gw gw_01 --nodes 1,2 --suite suites/commands.json</t>
        </is>
      </c>
      <c r="F29" s="25" t="inlineStr">
        <is>
          <t>PASS/FAIL từng bước</t>
        </is>
      </c>
      <c r="G29" s="25" t="inlineStr">
        <is>
          <t>D01–D11</t>
        </is>
      </c>
    </row>
    <row r="30">
      <c r="B30" s="25" t="n">
        <v>25</v>
      </c>
      <c r="C30" s="25" t="inlineStr">
        <is>
          <t>Suite</t>
        </is>
      </c>
      <c r="D30" s="25" t="inlineStr">
        <is>
          <t>Toggle round-trip</t>
        </is>
      </c>
      <c r="E30" s="26" t="inlineStr">
        <is>
          <t>python mqtt_server_sim.py --broker mqtts://$HOST --port 8883 --user $USER --pass "$PASS" --site HCM --gw gw_01 --nodes 1,2 --suite suites/toggle_roundtrip.json</t>
        </is>
      </c>
      <c r="F30" s="25" t="inlineStr">
        <is>
          <t>PASS/FAIL</t>
        </is>
      </c>
      <c r="G30" s="25" t="inlineStr">
        <is>
          <t>F01</t>
        </is>
      </c>
    </row>
    <row r="31">
      <c r="B31" s="25" t="n">
        <v>26</v>
      </c>
      <c r="C31" s="25" t="inlineStr">
        <is>
          <t>Schema</t>
        </is>
      </c>
      <c r="D31" s="25" t="inlineStr">
        <is>
          <t>Validate payload 'data' nhận được</t>
        </is>
      </c>
      <c r="E31" s="26" t="inlineStr">
        <is>
          <t>python mqtt_server_sim.py --broker mqtts://$HOST --port 8883 --user $USER --pass "$PASS" --site HCM --gw gw_01 --nodes 1,2 --check-schema data --timeout 30</t>
        </is>
      </c>
      <c r="F31" s="25" t="inlineStr">
        <is>
          <t>schema 'data' hợp lệ</t>
        </is>
      </c>
      <c r="G31" s="25" t="inlineStr">
        <is>
          <t>C01, K02</t>
        </is>
      </c>
    </row>
    <row r="33">
      <c r="B33" t="inlineStr">
        <is>
          <t>Ghi chú:</t>
        </is>
      </c>
    </row>
    <row r="34">
      <c r="B34" t="inlineStr">
        <is>
          <t>- Có thể thay mosquitto_sub/pub bằng script: python mqtt_server_sim.py --broker mqtts://$HOST --port 8883 --user $USER --pass "$PASS" --site HCM --gw gw_01 --nodes 1,2</t>
        </is>
      </c>
    </row>
    <row r="35">
      <c r="B35" t="inlineStr">
        <is>
          <t>- Linux/macOS (bash): export HOST='...'; export USER='...'; export PASS='...'; export T='irrigation/HCM/gw_01'</t>
        </is>
      </c>
    </row>
    <row r="36">
      <c r="B36" t="inlineStr">
        <is>
          <t>- Password chứa ký tự đặc biệt (# &amp; %) → luôn đặt trong nháy ĐƠN khi gán biến.</t>
        </is>
      </c>
    </row>
    <row r="37">
      <c r="B37" t="inlineStr">
        <is>
          <t>- LỆNH CACHE-FIRST: mọi lệnh được cache trước và chỉ gửi khi node gửi uplink → nhấn GPIO34 để ép.</t>
        </is>
      </c>
    </row>
    <row r="38">
      <c r="B38" t="inlineStr">
        <is>
          <t>- Baseline: node phải có NVS baseline TRỐNG (idf.py -p COMx erase-flash rồi flash lại).</t>
        </is>
      </c>
    </row>
    <row r="39">
      <c r="B39" t="inlineStr">
        <is>
          <t>- sync_slot gửi tới topic node_FF (gateway-level, broadcast) — không cần node id thật.</t>
        </is>
      </c>
    </row>
    <row r="40">
      <c r="B40" t="inlineStr">
        <is>
          <t>- Đổi broker trong config.c xong phải erase NVS, vì giá trị NVS cũ sẽ ghi đè giá trị mặc định.</t>
        </is>
      </c>
    </row>
    <row r="41">
      <c r="B41" t="inlineStr">
        <is>
          <t>- Gateway mất MQTT: data/status/alarm bị DROP (không buffer lại); LoRa vẫn ACK node bình thường.</t>
        </is>
      </c>
    </row>
  </sheetData>
  <mergeCells count="11">
    <mergeCell ref="B3:G3"/>
    <mergeCell ref="B2:G2"/>
    <mergeCell ref="B34:G34"/>
    <mergeCell ref="B38:G38"/>
    <mergeCell ref="B39:G39"/>
    <mergeCell ref="B36:G36"/>
    <mergeCell ref="B37:G37"/>
    <mergeCell ref="B41:G41"/>
    <mergeCell ref="B35:G35"/>
    <mergeCell ref="B40:G40"/>
    <mergeCell ref="B33:G3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F32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34" customWidth="1" min="2" max="2"/>
    <col width="42" customWidth="1" min="3" max="3"/>
    <col width="30" customWidth="1" min="4" max="4"/>
    <col width="20" customWidth="1" min="5" max="5"/>
    <col width="54" customWidth="1" min="6" max="6"/>
  </cols>
  <sheetData>
    <row r="2">
      <c r="B2" s="1" t="inlineStr">
        <is>
          <t>Bản đồ SUITE tự động ↔ TEST CASE (Test_Case_Tuoi_Tu_Dong.xlsx)</t>
        </is>
      </c>
    </row>
    <row r="3">
      <c r="B3" s="2" t="inlineStr">
        <is>
          <t>Các suite trong test/suites/*.json được viết theo mã CŨ (BL/BP/BR…). Bảng này đối chiếu sang mã A–K của sheet 'Test Cases'. run_suite() chỉ in tên bước, KHÔNG parse mã → đổi nhãn không ảnh hưởng kết quả PASS/FAIL.</t>
        </is>
      </c>
    </row>
    <row r="5">
      <c r="A5" s="3" t="n"/>
      <c r="B5" s="3" t="inlineStr">
        <is>
          <t>Suite</t>
        </is>
      </c>
      <c r="C5" s="3" t="inlineStr">
        <is>
          <t>Bước / Phạm vi</t>
        </is>
      </c>
      <c r="D5" s="3" t="inlineStr">
        <is>
          <t>Mã TC (A–K)</t>
        </is>
      </c>
      <c r="E5" s="3" t="inlineStr">
        <is>
          <t>Mã cũ</t>
        </is>
      </c>
      <c r="F5" s="3" t="inlineStr">
        <is>
          <t>Ghi chú</t>
        </is>
      </c>
    </row>
    <row r="6">
      <c r="B6" s="27" t="inlineStr">
        <is>
          <t>baseline_provision.json</t>
        </is>
      </c>
      <c r="C6" s="27" t="inlineStr">
        <is>
          <t>Pre nạp series 0/1/2 (schema CŨ)</t>
        </is>
      </c>
      <c r="D6" s="27" t="inlineStr">
        <is>
          <t>TC-I02</t>
        </is>
      </c>
      <c r="E6" s="27" t="inlineStr">
        <is>
          <t>TC-BP01</t>
        </is>
      </c>
      <c r="F6" s="27" t="inlineStr">
        <is>
          <t>Mỗi message 1 series (series + points).</t>
        </is>
      </c>
    </row>
    <row r="7">
      <c r="B7" s="27" t="inlineStr">
        <is>
          <t>baseline_provision.json</t>
        </is>
      </c>
      <c r="C7" s="27" t="inlineStr">
        <is>
          <t>node xin baseline (status=request)</t>
        </is>
      </c>
      <c r="D7" s="27" t="inlineStr">
        <is>
          <t>TC-I08, TC-B08</t>
        </is>
      </c>
      <c r="E7" s="27" t="inlineStr">
        <is>
          <t>TC-BP02</t>
        </is>
      </c>
      <c r="F7" s="27" t="inlineStr">
        <is>
          <t>CHỈ xuất hiện khi NVS node thiếu baseline (flags REQ_BASELINE).</t>
        </is>
      </c>
    </row>
    <row r="8">
      <c r="B8" s="27" t="inlineStr">
        <is>
          <t>baseline_provision.json</t>
        </is>
      </c>
      <c r="C8" s="27" t="inlineStr">
        <is>
          <t>node lưu xong series 0/1/2 (status=done)</t>
        </is>
      </c>
      <c r="D8" s="27" t="inlineStr">
        <is>
          <t>TC-I05</t>
        </is>
      </c>
      <c r="E8" s="27" t="inlineStr">
        <is>
          <t>TC-BP03</t>
        </is>
      </c>
      <c r="F8" s="27" t="inlineStr">
        <is>
          <t>Mỗi uplink 0x08 → 1 publish 'done'.</t>
        </is>
      </c>
    </row>
    <row r="9">
      <c r="B9" s="27" t="inlineStr">
        <is>
          <t>baseline_provision.json</t>
        </is>
      </c>
      <c r="C9" s="27" t="inlineStr">
        <is>
          <t>node trở lại hoạt động (data hợp lệ)</t>
        </is>
      </c>
      <c r="D9" s="27" t="inlineStr">
        <is>
          <t>TC-C06, TC-B01</t>
        </is>
      </c>
      <c r="E9" s="27" t="inlineStr">
        <is>
          <t>TC-BP02</t>
        </is>
      </c>
      <c r="F9" s="27" t="inlineStr">
        <is>
          <t>Sau khi commit xong, node gửi data bình thường.</t>
        </is>
      </c>
    </row>
    <row r="10">
      <c r="B10" s="27" t="inlineStr">
        <is>
          <t>baseline_provision_new_schema.json</t>
        </is>
      </c>
      <c r="C10" s="27" t="inlineStr">
        <is>
          <t>set_baseline 1 message = 3 series (v1)</t>
        </is>
      </c>
      <c r="D10" s="27" t="inlineStr">
        <is>
          <t>TC-I01</t>
        </is>
      </c>
      <c r="E10" s="27" t="inlineStr">
        <is>
          <t>TC-BP01</t>
        </is>
      </c>
      <c r="F10" s="27" t="inlineStr">
        <is>
          <t>SCHEMA MỚI: series = mảng 3 danh sách điểm; null/[] = giữ nguyên.</t>
        </is>
      </c>
    </row>
    <row r="11">
      <c r="B11" s="27" t="inlineStr">
        <is>
          <t>baseline_provision_new_schema.json</t>
        </is>
      </c>
      <c r="C11" s="27" t="inlineStr">
        <is>
          <t>request / done ×3 / data</t>
        </is>
      </c>
      <c r="D11" s="27" t="inlineStr">
        <is>
          <t>TC-I08, TC-I05, TC-C06</t>
        </is>
      </c>
      <c r="E11" s="27" t="inlineStr">
        <is>
          <t>TC-BP02/BP03</t>
        </is>
      </c>
      <c r="F11" s="27" t="inlineStr">
        <is>
          <t>Node NVS trống → REQ → gateway push chunk 0x07 → commit mask=0x07.</t>
        </is>
      </c>
    </row>
    <row r="12">
      <c r="B12" s="27" t="inlineStr">
        <is>
          <t>baseline_provision_new_schema.json</t>
        </is>
      </c>
      <c r="C12" s="27" t="inlineStr">
        <is>
          <t>push version mới (v2) - node KHÔNG cần xin lại</t>
        </is>
      </c>
      <c r="D12" s="27" t="inlineStr">
        <is>
          <t>TC-I06</t>
        </is>
      </c>
      <c r="E12" s="27" t="inlineStr">
        <is>
          <t>(chưa có)</t>
        </is>
      </c>
      <c r="F12" s="27" t="inlineStr">
        <is>
          <t>Push-only; cần 1 uplink (nhấn nút GPIO34) để gateway flush chunk.</t>
        </is>
      </c>
    </row>
    <row r="13">
      <c r="B13" s="27" t="inlineStr">
        <is>
          <t>slot_sync.json</t>
        </is>
      </c>
      <c r="C13" s="27" t="inlineStr">
        <is>
          <t>node 0x01 online (pre)</t>
        </is>
      </c>
      <c r="D13" s="27" t="inlineStr">
        <is>
          <t>TC-B01</t>
        </is>
      </c>
      <c r="E13" s="11" t="inlineStr">
        <is>
          <t>-</t>
        </is>
      </c>
      <c r="F13" s="27" t="inlineStr">
        <is>
          <t>Chờ 1 data để chắc node còn sống.</t>
        </is>
      </c>
    </row>
    <row r="14">
      <c r="B14" s="27" t="inlineStr">
        <is>
          <t>slot_sync.json</t>
        </is>
      </c>
      <c r="C14" s="27" t="inlineStr">
        <is>
          <t>server phát sync_slot (t = 0)</t>
        </is>
      </c>
      <c r="D14" s="27" t="inlineStr">
        <is>
          <t>TC-H01</t>
        </is>
      </c>
      <c r="E14" s="27" t="inlineStr">
        <is>
          <t>TC-BL01</t>
        </is>
      </c>
      <c r="F14" s="27" t="inlineStr">
        <is>
          <t>Gateway-level, gửi tới node_FF/cmd; gateway KHÔNG publish gì (verify bằng serial).</t>
        </is>
      </c>
    </row>
    <row r="15">
      <c r="B15" s="27" t="inlineStr">
        <is>
          <t>slot_sync.json</t>
        </is>
      </c>
      <c r="C15" s="27" t="inlineStr">
        <is>
          <t>hệ thống vẫn hoạt động (downlink 7 byte)</t>
        </is>
      </c>
      <c r="D15" s="27" t="inlineStr">
        <is>
          <t>TC-H02</t>
        </is>
      </c>
      <c r="E15" s="27" t="inlineStr">
        <is>
          <t>TC-BL04</t>
        </is>
      </c>
      <c r="F15" s="27" t="inlineStr">
        <is>
          <t>Verify byte trên serial 2 phía; suite chỉ check hệ sống.</t>
        </is>
      </c>
    </row>
    <row r="16">
      <c r="B16" s="27" t="inlineStr">
        <is>
          <t>bootstrap.json</t>
        </is>
      </c>
      <c r="C16" s="27" t="inlineStr">
        <is>
          <t>gateway online khi connect</t>
        </is>
      </c>
      <c r="D16" s="27" t="inlineStr">
        <is>
          <t>TC-A02</t>
        </is>
      </c>
      <c r="E16" s="11" t="inlineStr">
        <is>
          <t>-</t>
        </is>
      </c>
      <c r="F16" s="27" t="inlineStr">
        <is>
          <t>-</t>
        </is>
      </c>
    </row>
    <row r="17">
      <c r="B17" s="27" t="inlineStr">
        <is>
          <t>bootstrap.json</t>
        </is>
      </c>
      <c r="C17" s="27" t="inlineStr">
        <is>
          <t>heartbeat #1/#2 (60 s)</t>
        </is>
      </c>
      <c r="D17" s="27" t="inlineStr">
        <is>
          <t>TC-A03</t>
        </is>
      </c>
      <c r="E17" s="11" t="inlineStr">
        <is>
          <t>-</t>
        </is>
      </c>
      <c r="F17" s="27" t="inlineStr">
        <is>
          <t>nodes_registered khớp số node.</t>
        </is>
      </c>
    </row>
    <row r="18">
      <c r="B18" s="27" t="inlineStr">
        <is>
          <t>bootstrap.json</t>
        </is>
      </c>
      <c r="C18" s="27" t="inlineStr">
        <is>
          <t>node 0x01 publish data schema hợp lệ</t>
        </is>
      </c>
      <c r="D18" s="27" t="inlineStr">
        <is>
          <t>TC-B01, TC-C01</t>
        </is>
      </c>
      <c r="E18" s="27" t="inlineStr">
        <is>
          <t>(trước ghi nhầm TC-A01)</t>
        </is>
      </c>
      <c r="F18" s="27" t="inlineStr">
        <is>
          <t>TC-A01 trong bảng chính là boot-sync, không phải data.</t>
        </is>
      </c>
    </row>
    <row r="19">
      <c r="B19" s="27" t="inlineStr">
        <is>
          <t>commands.json</t>
        </is>
      </c>
      <c r="C19" s="27" t="inlineStr">
        <is>
          <t>set_interval 300 s</t>
        </is>
      </c>
      <c r="D19" s="27" t="inlineStr">
        <is>
          <t>TC-D02</t>
        </is>
      </c>
      <c r="E19" s="11" t="inlineStr">
        <is>
          <t>-</t>
        </is>
      </c>
      <c r="F19" s="27" t="inlineStr">
        <is>
          <t>Node BỎ QUA lệnh này (chu kỳ ngủ cố định 300 s) nhưng vẫn ACK.</t>
        </is>
      </c>
    </row>
    <row r="20">
      <c r="B20" s="27" t="inlineStr">
        <is>
          <t>commands.json</t>
        </is>
      </c>
      <c r="C20" s="27" t="inlineStr">
        <is>
          <t>set_mode 1 (Schedule)</t>
        </is>
      </c>
      <c r="D20" s="27" t="inlineStr">
        <is>
          <t>TC-D07</t>
        </is>
      </c>
      <c r="E20" s="11" t="inlineStr">
        <is>
          <t>-</t>
        </is>
      </c>
      <c r="F20" s="27" t="inlineStr">
        <is>
          <t>-</t>
        </is>
      </c>
    </row>
    <row r="21">
      <c r="B21" s="27" t="inlineStr">
        <is>
          <t>commands.json</t>
        </is>
      </c>
      <c r="C21" s="27" t="inlineStr">
        <is>
          <t>set_delta soil = 5</t>
        </is>
      </c>
      <c r="D21" s="27" t="inlineStr">
        <is>
          <t>TC-D08</t>
        </is>
      </c>
      <c r="E21" s="27" t="inlineStr">
        <is>
          <t>TC-BR03</t>
        </is>
      </c>
      <c r="F21" s="27" t="inlineStr">
        <is>
          <t>Cập nhật cả cache local gateway.</t>
        </is>
      </c>
    </row>
    <row r="22">
      <c r="B22" s="27" t="inlineStr">
        <is>
          <t>commands.json</t>
        </is>
      </c>
      <c r="C22" s="27" t="inlineStr">
        <is>
          <t>report (ép gửi data ngay)</t>
        </is>
      </c>
      <c r="D22" s="27" t="inlineStr">
        <is>
          <t>TC-D05</t>
        </is>
      </c>
      <c r="E22" s="11" t="inlineStr">
        <is>
          <t>-</t>
        </is>
      </c>
      <c r="F22" s="27" t="inlineStr">
        <is>
          <t>Node gửi 0x01 ngay, không dedup.</t>
        </is>
      </c>
    </row>
    <row r="23">
      <c r="B23" s="27" t="inlineStr">
        <is>
          <t>offline_status.json</t>
        </is>
      </c>
      <c r="C23" s="27" t="inlineStr">
        <is>
          <t>chờ status offline node 0x01</t>
        </is>
      </c>
      <c r="D23" s="27" t="inlineStr">
        <is>
          <t>TC-C05</t>
        </is>
      </c>
      <c r="E23" s="27" t="inlineStr">
        <is>
          <t>TC-C3</t>
        </is>
      </c>
      <c r="F23" s="27" t="inlineStr">
        <is>
          <t>ĐÃ SỬA: timeout suy ra ~3600 s (không còn 180 s cố định).</t>
        </is>
      </c>
    </row>
    <row r="24">
      <c r="B24" s="27" t="inlineStr">
        <is>
          <t>set_threshold.json</t>
        </is>
      </c>
      <c r="C24" s="27" t="inlineStr">
        <is>
          <t>set_threshold(20-80) + data mới</t>
        </is>
      </c>
      <c r="D24" s="27" t="inlineStr">
        <is>
          <t>TC-D01</t>
        </is>
      </c>
      <c r="E24" s="27" t="inlineStr">
        <is>
          <t>TC-BR01</t>
        </is>
      </c>
      <c r="F24" s="27" t="inlineStr">
        <is>
          <t>Cache-first: cần 1 uplink để gateway flush lệnh.</t>
        </is>
      </c>
    </row>
    <row r="25">
      <c r="B25" s="27" t="inlineStr">
        <is>
          <t>threshold_alarm.json</t>
        </is>
      </c>
      <c r="C25" s="27" t="inlineStr">
        <is>
          <t>data vượt ngưỡng + alarm 3b</t>
        </is>
      </c>
      <c r="D25" s="27" t="inlineStr">
        <is>
          <t>TC-C02, TC-F02</t>
        </is>
      </c>
      <c r="E25" s="11" t="inlineStr">
        <is>
          <t>-</t>
        </is>
      </c>
      <c r="F25" s="27" t="inlineStr">
        <is>
          <t>-</t>
        </is>
      </c>
    </row>
    <row r="26">
      <c r="B26" s="27" t="inlineStr">
        <is>
          <t>toggle_roundtrip.json</t>
        </is>
      </c>
      <c r="C26" s="27" t="inlineStr">
        <is>
          <t>data #1 → toggle → data #2</t>
        </is>
      </c>
      <c r="D26" s="27" t="inlineStr">
        <is>
          <t>TC-F01, TC-D06</t>
        </is>
      </c>
      <c r="E26" s="27" t="inlineStr">
        <is>
          <t>TC-BR02</t>
        </is>
      </c>
      <c r="F26" s="27" t="inlineStr">
        <is>
          <t>Dedup: toggle gửi 2 lần chỉ đổi bơm 1 lần.</t>
        </is>
      </c>
    </row>
    <row r="27">
      <c r="B27" s="13" t="inlineStr">
        <is>
          <t>(chưa có suite)</t>
        </is>
      </c>
      <c r="C27" s="13" t="inlineStr">
        <is>
          <t>baseline gating theo tolerance</t>
        </is>
      </c>
      <c r="D27" s="13" t="inlineStr">
        <is>
          <t>TC-J01–J05, TC-G14</t>
        </is>
      </c>
      <c r="E27" s="13" t="inlineStr">
        <is>
          <t>TC-BG01–BG06</t>
        </is>
      </c>
      <c r="F27" s="13" t="inlineStr">
        <is>
          <t>Đề xuất thêm suite (cần nạp baseline lệch giá trị đo).</t>
        </is>
      </c>
    </row>
    <row r="28">
      <c r="B28" s="13" t="inlineStr">
        <is>
          <t>(chưa có suite)</t>
        </is>
      </c>
      <c r="C28" s="13" t="inlineStr">
        <is>
          <t>nội suy từng đoạn (biên, dy âm, làm tròn, dt=0)</t>
        </is>
      </c>
      <c r="D28" s="13" t="inlineStr">
        <is>
          <t>TC-J06–J11</t>
        </is>
      </c>
      <c r="E28" s="13" t="inlineStr">
        <is>
          <t>TC-BI01–BI06</t>
        </is>
      </c>
      <c r="F28" s="13" t="inlineStr">
        <is>
          <t>Verify qua log 'Baseline dev ... exp=' trên serial node.</t>
        </is>
      </c>
    </row>
    <row r="29">
      <c r="B29" s="13" t="inlineStr">
        <is>
          <t>(chưa có suite)</t>
        </is>
      </c>
      <c r="C29" s="13" t="inlineStr">
        <is>
          <t>safety cap 15 phút</t>
        </is>
      </c>
      <c r="D29" s="13" t="inlineStr">
        <is>
          <t>TC-I10</t>
        </is>
      </c>
      <c r="E29" s="13" t="inlineStr">
        <is>
          <t>TC-BP04</t>
        </is>
      </c>
      <c r="F29" s="13" t="inlineStr">
        <is>
          <t>Đo bằng serial node.</t>
        </is>
      </c>
    </row>
    <row r="30">
      <c r="B30" s="13" t="inlineStr">
        <is>
          <t>(chưa có suite)</t>
        </is>
      </c>
      <c r="C30" s="13" t="inlineStr">
        <is>
          <t>rearm chunk khi mất giữa chừng</t>
        </is>
      </c>
      <c r="D30" s="13" t="inlineStr">
        <is>
          <t>TC-I09</t>
        </is>
      </c>
      <c r="E30" s="13" t="inlineStr">
        <is>
          <t>TC-BP05</t>
        </is>
      </c>
      <c r="F30" s="13" t="inlineStr">
        <is>
          <t>Nhấn nút giữa lúc nhận.</t>
        </is>
      </c>
    </row>
    <row r="31">
      <c r="B31" s="13" t="inlineStr">
        <is>
          <t>(chưa có suite)</t>
        </is>
      </c>
      <c r="C31" s="13" t="inlineStr">
        <is>
          <t>chunk version cũ (stale) bị bỏ qua</t>
        </is>
      </c>
      <c r="D31" s="13" t="inlineStr">
        <is>
          <t>TC-I07</t>
        </is>
      </c>
      <c r="E31" s="13" t="inlineStr">
        <is>
          <t>(chưa có)</t>
        </is>
      </c>
      <c r="F31" s="13" t="inlineStr">
        <is>
          <t>-</t>
        </is>
      </c>
    </row>
    <row r="32">
      <c r="B32" s="13" t="inlineStr">
        <is>
          <t>(chưa có suite)</t>
        </is>
      </c>
      <c r="C32" s="13" t="inlineStr">
        <is>
          <t>set_baseline sai định dạng → không lưu</t>
        </is>
      </c>
      <c r="D32" s="13" t="inlineStr">
        <is>
          <t>TC-G10</t>
        </is>
      </c>
      <c r="E32" s="13" t="inlineStr">
        <is>
          <t>TC-BN01–BN03/BN08</t>
        </is>
      </c>
      <c r="F32" s="13" t="inlineStr">
        <is>
          <t>t không tăng dần / &gt; 96 điểm / series lạ / y &gt; 255.</t>
        </is>
      </c>
    </row>
  </sheetData>
  <autoFilter ref="B5:F32"/>
  <mergeCells count="2">
    <mergeCell ref="B2:F2"/>
    <mergeCell ref="B3:F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H63"/>
  <sheetViews>
    <sheetView workbookViewId="0">
      <selection activeCell="A1" sqref="A1"/>
    </sheetView>
  </sheetViews>
  <sheetFormatPr baseColWidth="8" defaultRowHeight="15"/>
  <cols>
    <col width="3" customWidth="1" min="1" max="1"/>
    <col width="60" customWidth="1" min="2" max="2"/>
    <col width="2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2">
      <c r="B2" s="1" t="inlineStr">
        <is>
          <t>Quy ước byte gói tin &amp; mã lệnh (firmware HIỆN TẠI)</t>
        </is>
      </c>
    </row>
    <row r="4">
      <c r="B4" s="2" t="inlineStr">
        <is>
          <t>Uplink LoRa 8B (Node → Gateway) — legacy/full</t>
        </is>
      </c>
      <c r="C4" s="7" t="inlineStr"/>
    </row>
    <row r="5">
      <c r="B5" t="inlineStr">
        <is>
          <t>| node_id | type | flags | soil | temp(+40) | hum | battery | crc |</t>
        </is>
      </c>
      <c r="C5" s="7" t="inlineStr"/>
    </row>
    <row r="6">
      <c r="B6" t="inlineStr">
        <is>
          <t>• temp lệch +40: temp_byte = temperature + 40. VD 28°C → 0x44 (68).</t>
        </is>
      </c>
      <c r="C6" s="7" t="inlineStr"/>
    </row>
    <row r="7">
      <c r="B7" t="inlineStr">
        <is>
          <t>• crc = XOR của 7 byte trước (không bỏ 0x00).</t>
        </is>
      </c>
      <c r="C7" s="7" t="inlineStr"/>
    </row>
    <row r="8">
      <c r="B8" t="inlineStr"/>
      <c r="C8" s="7" t="inlineStr"/>
    </row>
    <row r="9">
      <c r="B9" s="2" t="inlineStr">
        <is>
          <t>Uplink compact 0x06 (Node → Gateway) — variable</t>
        </is>
      </c>
      <c r="C9" s="7" t="inlineStr"/>
    </row>
    <row r="10">
      <c r="B10" t="inlineStr">
        <is>
          <t>| node_id | 0x06 | presence | [field]×n | crc |</t>
        </is>
      </c>
      <c r="C10" s="7" t="inlineStr"/>
    </row>
    <row r="11">
      <c r="B11" t="inlineStr">
        <is>
          <t>• presence bitmask: 0x01 temp, 0x02 hum, 0x04 soil, 0x08 battery, 0x10 flags.</t>
        </is>
      </c>
      <c r="C11" s="7" t="inlineStr"/>
    </row>
    <row r="12">
      <c r="B12" t="inlineStr">
        <is>
          <t>• Chỉ field có bit = 1 mới xuất hiện, theo thứ tự LSB→MSB. packet = 3 + popcount + 1.</t>
        </is>
      </c>
      <c r="C12" s="7" t="inlineStr"/>
    </row>
    <row r="13">
      <c r="B13" t="inlineStr"/>
      <c r="C13" s="7" t="inlineStr"/>
    </row>
    <row r="14">
      <c r="B14" s="2" t="inlineStr">
        <is>
          <t>Downlink command 7B (GW → Node) — v2 (có slot)</t>
        </is>
      </c>
      <c r="C14" s="7" t="inlineStr"/>
    </row>
    <row r="15">
      <c r="B15" t="inlineStr">
        <is>
          <t>| dest | 0x05 | cmd | param1 | param2 | slot | crc |</t>
        </is>
      </c>
      <c r="C15" s="7" t="inlineStr"/>
    </row>
    <row r="16">
      <c r="B16" t="inlineStr">
        <is>
          <t>• slot = slot hiện tại của gateway (0..95), có mặt trong MỌI downlink.</t>
        </is>
      </c>
      <c r="C16" s="7" t="inlineStr"/>
    </row>
    <row r="17">
      <c r="B17" t="inlineStr">
        <is>
          <t>• crc = XOR của 6 byte đầu. dest=0xFF là broadcast (frame biên t=0).</t>
        </is>
      </c>
      <c r="C17" s="7" t="inlineStr"/>
    </row>
    <row r="18">
      <c r="B18" t="inlineStr"/>
      <c r="C18" s="7" t="inlineStr"/>
    </row>
    <row r="19">
      <c r="B19" s="2" t="inlineStr">
        <is>
          <t>Baseline chunk 0x07 (GW → Node) — variable ≤ 28B</t>
        </is>
      </c>
      <c r="C19" s="7" t="inlineStr"/>
    </row>
    <row r="20">
      <c r="B20" t="inlineStr">
        <is>
          <t>| dest | 0x07 | series | version | seq | total | n_points | [t,y]×n | crc |</t>
        </is>
      </c>
      <c r="C20" s="7" t="inlineStr"/>
    </row>
    <row r="21">
      <c r="B21" t="inlineStr">
        <is>
          <t>• series: 0=temp, 1=hum, 2=soil. n_points ≤ 10. BASELINE_MAX_POINTS=96/series.</t>
        </is>
      </c>
      <c r="C21" s="7" t="inlineStr"/>
    </row>
    <row r="22">
      <c r="B22" t="inlineStr">
        <is>
          <t>• Frame = 7 + 2×n_points + 1; crc = XOR tất cả byte trước.</t>
        </is>
      </c>
      <c r="C22" s="7" t="inlineStr"/>
    </row>
    <row r="23">
      <c r="B23" t="inlineStr"/>
      <c r="C23" s="7" t="inlineStr"/>
    </row>
    <row r="24">
      <c r="B24" s="2" t="inlineStr">
        <is>
          <t>Uplink BASELINE_DONE 0x08 (Node → GW)</t>
        </is>
      </c>
      <c r="C24" s="7" t="inlineStr"/>
    </row>
    <row r="25">
      <c r="B25" t="inlineStr">
        <is>
          <t>| node | 0x08 | series | version | 0 | 0 | 0 | crc |  (8B)</t>
        </is>
      </c>
      <c r="C25" s="7" t="inlineStr"/>
    </row>
    <row r="26">
      <c r="B26" t="inlineStr"/>
      <c r="C26" s="7" t="inlineStr"/>
    </row>
    <row r="27">
      <c r="B27" s="2" t="inlineStr">
        <is>
          <t>Uplink REQ 0x09 (Node → GW)</t>
        </is>
      </c>
      <c r="C27" s="7" t="inlineStr"/>
    </row>
    <row r="28">
      <c r="B28" t="inlineStr">
        <is>
          <t>| node | 0x09 | flags | series_mask | 0 | 0 | 0 | crc |  (8B)</t>
        </is>
      </c>
      <c r="C28" s="7" t="inlineStr"/>
    </row>
    <row r="29">
      <c r="B29" t="inlineStr">
        <is>
          <t>• flags: bit0 REQ_BASELINE, bit1 REQ_TIME. series_mask bit s = cần series s.</t>
        </is>
      </c>
      <c r="C29" s="7" t="inlineStr"/>
    </row>
    <row r="30">
      <c r="B30" t="inlineStr"/>
      <c r="C30" s="7" t="inlineStr"/>
    </row>
    <row r="31">
      <c r="B31" s="2" t="inlineStr">
        <is>
          <t>LoRa packet types</t>
        </is>
      </c>
      <c r="C31" s="7" t="inlineStr"/>
    </row>
    <row r="32">
      <c r="B32" t="inlineStr">
        <is>
          <t>0x01 data  |  0x02 heartbeat  |  0x03 ACK  |  0x04 alarm</t>
        </is>
      </c>
      <c r="C32" s="7" t="inlineStr"/>
    </row>
    <row r="33">
      <c r="B33" t="inlineStr">
        <is>
          <t>0x05 command (downlink)  |  0x06 compact  |  0x07 baseline chunk</t>
        </is>
      </c>
      <c r="C33" s="7" t="inlineStr"/>
    </row>
    <row r="34">
      <c r="B34" t="inlineStr">
        <is>
          <t>0x08 baseline done  |  0x09 request / ACK rỗng keep-alive</t>
        </is>
      </c>
      <c r="C34" s="7" t="inlineStr"/>
    </row>
    <row r="35">
      <c r="B35" t="inlineStr"/>
      <c r="C35" s="7" t="inlineStr"/>
    </row>
    <row r="36">
      <c r="B36" s="2" t="inlineStr">
        <is>
          <t>Flags (uplink)</t>
        </is>
      </c>
      <c r="C36" s="7" t="inlineStr"/>
    </row>
    <row r="37">
      <c r="B37" t="inlineStr">
        <is>
          <t>0x01 pump on  |  0x02 threshold_exceeded  |  0x04 GW_lost  |  0x08 sensor_ok</t>
        </is>
      </c>
      <c r="C37" s="7" t="inlineStr"/>
    </row>
    <row r="38">
      <c r="B38" t="inlineStr"/>
      <c r="C38" s="7" t="inlineStr"/>
    </row>
    <row r="39">
      <c r="B39" s="2" t="inlineStr">
        <is>
          <t>Command codes (downlink)</t>
        </is>
      </c>
      <c r="C39" s="7" t="inlineStr"/>
    </row>
    <row r="40">
      <c r="B40" t="inlineStr">
        <is>
          <t>0x01 set_interval (node BỎ QUA - cố định 300 s)</t>
        </is>
      </c>
      <c r="C40" s="7" t="inlineStr"/>
    </row>
    <row r="41">
      <c r="B41" t="inlineStr">
        <is>
          <t>0x02 on (param1 = duration s)  |  0x03 off  |  0x04 set_threshold(low,high)</t>
        </is>
      </c>
      <c r="C41" s="7" t="inlineStr"/>
    </row>
    <row r="42">
      <c r="B42" t="inlineStr">
        <is>
          <t>0x05 set_schedule(hour,minute)  |  0x06 report  |  0x07 toggle</t>
        </is>
      </c>
      <c r="C42" s="7" t="inlineStr"/>
    </row>
    <row r="43">
      <c r="B43" t="inlineStr">
        <is>
          <t>0x08 set_mode  |  0x09 ACK rỗng / keep-alive  |  0x0A set_delta(type,value)</t>
        </is>
      </c>
      <c r="C43" s="7" t="inlineStr"/>
    </row>
    <row r="44">
      <c r="B44" t="inlineStr"/>
      <c r="C44" s="7" t="inlineStr"/>
    </row>
    <row r="45">
      <c r="B45" s="2" t="inlineStr">
        <is>
          <t>Alarm codes</t>
        </is>
      </c>
      <c r="C45" s="7" t="inlineStr"/>
    </row>
    <row r="46">
      <c r="B46" t="inlineStr">
        <is>
          <t>0x01 sensor error  |  0x02 soil out range  |  0x03 relay error</t>
        </is>
      </c>
      <c r="C46" s="7" t="inlineStr"/>
    </row>
    <row r="47">
      <c r="B47" t="inlineStr">
        <is>
          <t>0x04 low battery  |  0x05 gateway lost</t>
        </is>
      </c>
      <c r="C47" s="7" t="inlineStr"/>
    </row>
    <row r="48">
      <c r="B48" t="inlineStr"/>
      <c r="C48" s="7" t="inlineStr"/>
    </row>
    <row r="49">
      <c r="B49" s="2" t="inlineStr">
        <is>
          <t>Alert message map</t>
        </is>
      </c>
      <c r="C49" s="7" t="inlineStr"/>
    </row>
    <row r="50">
      <c r="B50" t="inlineStr">
        <is>
          <t>1</t>
        </is>
      </c>
      <c r="C50" s="7" t="inlineStr">
        <is>
          <t>Sensor error — 3 consecutive sensor read failures</t>
        </is>
      </c>
    </row>
    <row r="51">
      <c r="B51" t="inlineStr">
        <is>
          <t>2</t>
        </is>
      </c>
      <c r="C51" s="7" t="inlineStr">
        <is>
          <t>Soil out of range — soil moisture &lt; 10% or &gt; 90%</t>
        </is>
      </c>
    </row>
    <row r="52">
      <c r="B52" t="inlineStr">
        <is>
          <t>3</t>
        </is>
      </c>
      <c r="C52" s="7" t="inlineStr">
        <is>
          <t>Relay error — pump relay fault (pulse or GPIO)</t>
        </is>
      </c>
    </row>
    <row r="53">
      <c r="B53" t="inlineStr">
        <is>
          <t>4</t>
        </is>
      </c>
      <c r="C53" s="7" t="inlineStr">
        <is>
          <t>Low battery — battery &lt; 20%</t>
        </is>
      </c>
    </row>
    <row r="54">
      <c r="B54" t="inlineStr">
        <is>
          <t>5</t>
        </is>
      </c>
      <c r="C54" s="7" t="inlineStr">
        <is>
          <t>Gateway lost — node lost connection (&gt;=3 ACK timeouts)</t>
        </is>
      </c>
    </row>
    <row r="55">
      <c r="B55" t="inlineStr"/>
      <c r="C55" s="7" t="inlineStr"/>
    </row>
    <row r="56">
      <c r="B56" s="2" t="inlineStr">
        <is>
          <t>Trục thời gian slot</t>
        </is>
      </c>
      <c r="C56" s="7" t="inlineStr"/>
    </row>
    <row r="57">
      <c r="B57" t="inlineStr">
        <is>
          <t>• 96 slot/ngày, SLOT_MINUTES=15, SLOT_MS=900000, t=0..95.</t>
        </is>
      </c>
      <c r="C57" s="7" t="inlineStr"/>
    </row>
    <row r="58">
      <c r="B58" t="inlineStr">
        <is>
          <t>• Node KHÔNG có epoch clock — chỉ giữ slot, sync qua mọi downlink + broadcast biên t=0.</t>
        </is>
      </c>
      <c r="C58" s="7" t="inlineStr"/>
    </row>
    <row r="59">
      <c r="B59" t="inlineStr"/>
      <c r="C59" s="7" t="inlineStr"/>
    </row>
    <row r="60">
      <c r="B60" s="2" t="inlineStr">
        <is>
          <t>Baseline &amp; gating</t>
        </is>
      </c>
      <c r="C60" s="7" t="inlineStr"/>
    </row>
    <row r="61">
      <c r="B61" t="inlineStr">
        <is>
          <t>• 3 series (temp/hum/soil), ≤ 96 điểm/series, y = giá trị thô (temp = °C+40).</t>
        </is>
      </c>
      <c r="C61" s="7" t="inlineStr"/>
    </row>
    <row r="62">
      <c r="B62" t="inlineStr">
        <is>
          <t>• Tolerance: temp=1, hum=2, soil=2. Gửi khi |đo − nội suy| &gt;= tolerance.</t>
        </is>
      </c>
      <c r="C62" s="7" t="inlineStr"/>
    </row>
    <row r="63">
      <c r="B63" t="inlineStr">
        <is>
          <t>• Nội suy từng đoạn, kẹp biên (không ngoại suy), làm tròn half-away-from-zero.</t>
        </is>
      </c>
      <c r="C63" s="7" t="inlineStr"/>
    </row>
  </sheetData>
  <mergeCells count="61">
    <mergeCell ref="C25:H25"/>
    <mergeCell ref="C26:H26"/>
    <mergeCell ref="C10:H10"/>
    <mergeCell ref="C16:H16"/>
    <mergeCell ref="C41:H41"/>
    <mergeCell ref="C47:H47"/>
    <mergeCell ref="C50:H50"/>
    <mergeCell ref="C54:H54"/>
    <mergeCell ref="C44:H44"/>
    <mergeCell ref="C55:H55"/>
    <mergeCell ref="C22:H22"/>
    <mergeCell ref="C40:H40"/>
    <mergeCell ref="C9:H9"/>
    <mergeCell ref="C31:H31"/>
    <mergeCell ref="C43:H43"/>
    <mergeCell ref="C12:H12"/>
    <mergeCell ref="C56:H56"/>
    <mergeCell ref="C21:H21"/>
    <mergeCell ref="C59:H59"/>
    <mergeCell ref="C11:H11"/>
    <mergeCell ref="C46:H46"/>
    <mergeCell ref="C51:H51"/>
    <mergeCell ref="C60:H60"/>
    <mergeCell ref="C36:H36"/>
    <mergeCell ref="C27:H27"/>
    <mergeCell ref="C52:H52"/>
    <mergeCell ref="C23:H23"/>
    <mergeCell ref="C61:H61"/>
    <mergeCell ref="C39:H39"/>
    <mergeCell ref="C8:H8"/>
    <mergeCell ref="C48:H48"/>
    <mergeCell ref="C17:H17"/>
    <mergeCell ref="C7:H7"/>
    <mergeCell ref="C32:H32"/>
    <mergeCell ref="C38:H38"/>
    <mergeCell ref="C19:H19"/>
    <mergeCell ref="C57:H57"/>
    <mergeCell ref="C28:H28"/>
    <mergeCell ref="C13:H13"/>
    <mergeCell ref="C37:H37"/>
    <mergeCell ref="C53:H53"/>
    <mergeCell ref="B2:H2"/>
    <mergeCell ref="C18:H18"/>
    <mergeCell ref="C49:H49"/>
    <mergeCell ref="C34:H34"/>
    <mergeCell ref="C63:H63"/>
    <mergeCell ref="C30:H30"/>
    <mergeCell ref="C15:H15"/>
    <mergeCell ref="C33:H33"/>
    <mergeCell ref="C6:H6"/>
    <mergeCell ref="C24:H24"/>
    <mergeCell ref="C42:H42"/>
    <mergeCell ref="C58:H58"/>
    <mergeCell ref="C62:H62"/>
    <mergeCell ref="C14:H14"/>
    <mergeCell ref="C5:H5"/>
    <mergeCell ref="C45:H45"/>
    <mergeCell ref="C35:H35"/>
    <mergeCell ref="C4:H4"/>
    <mergeCell ref="C20:H20"/>
    <mergeCell ref="C29:H2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14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46" customWidth="1" min="3" max="3"/>
    <col width="52" customWidth="1" min="4" max="4"/>
    <col width="34" customWidth="1" min="5" max="5"/>
    <col width="10" customWidth="1" min="6" max="6"/>
  </cols>
  <sheetData>
    <row r="2">
      <c r="B2" s="1" t="inlineStr">
        <is>
          <t>MQTT topics (site/gw mặc định HCM / gw_01)</t>
        </is>
      </c>
    </row>
    <row r="4">
      <c r="A4" s="3" t="n"/>
      <c r="B4" s="3" t="inlineStr">
        <is>
          <t>Hướng</t>
        </is>
      </c>
      <c r="C4" s="3" t="inlineStr">
        <is>
          <t>Topic</t>
        </is>
      </c>
      <c r="D4" s="3" t="inlineStr">
        <is>
          <t>Payload</t>
        </is>
      </c>
      <c r="E4" s="3" t="inlineStr">
        <is>
          <t>Khi nào</t>
        </is>
      </c>
    </row>
    <row r="5">
      <c r="B5" s="27" t="inlineStr">
        <is>
          <t>Node→Server</t>
        </is>
      </c>
      <c r="C5" s="27" t="inlineStr">
        <is>
          <t>irrigation/HCM/gw_01/node_01/data</t>
        </is>
      </c>
      <c r="D5" s="27" t="inlineStr">
        <is>
          <t>JSON sensor data</t>
        </is>
      </c>
      <c r="E5" s="27" t="inlineStr">
        <is>
          <t>Mỗi uplink data (0x01/0x06)</t>
        </is>
      </c>
    </row>
    <row r="6">
      <c r="B6" s="27" t="inlineStr">
        <is>
          <t>Node→Server</t>
        </is>
      </c>
      <c r="C6" s="27" t="inlineStr">
        <is>
          <t>irrigation/HCM/gw_01/node_01/status</t>
        </is>
      </c>
      <c r="D6" s="27" t="inlineStr">
        <is>
          <t>{"node":1,"status":"online/offline","timestamp":..}</t>
        </is>
      </c>
      <c r="E6" s="27" t="inlineStr">
        <is>
          <t>Node online trở lại / timeout</t>
        </is>
      </c>
    </row>
    <row r="7">
      <c r="B7" s="27" t="inlineStr">
        <is>
          <t>Node→Server</t>
        </is>
      </c>
      <c r="C7" s="27" t="inlineStr">
        <is>
          <t>irrigation/HCM/gw_01/node_01/alarm</t>
        </is>
      </c>
      <c r="D7" s="27" t="inlineStr">
        <is>
          <t>JSON alarm (3a từ node, 3b do gateway)</t>
        </is>
      </c>
      <c r="E7" s="27" t="inlineStr">
        <is>
          <t>Alarm packet 0x04 / vượt threshold</t>
        </is>
      </c>
    </row>
    <row r="8">
      <c r="B8" s="27" t="inlineStr">
        <is>
          <t>Node→Server</t>
        </is>
      </c>
      <c r="C8" s="27" t="inlineStr">
        <is>
          <t>irrigation/HCM/gw_01/node_01/baseline</t>
        </is>
      </c>
      <c r="D8" s="27" t="inlineStr">
        <is>
          <t>{"node":1,"status":"request","series_mask":7} / {"status":"done","series":n,"version":v}</t>
        </is>
      </c>
      <c r="E8" s="27" t="inlineStr">
        <is>
          <t>Node REQ 0x09 / BASELINE_DONE 0x08</t>
        </is>
      </c>
    </row>
    <row r="9">
      <c r="B9" s="27" t="inlineStr">
        <is>
          <t>GW→Server</t>
        </is>
      </c>
      <c r="C9" s="27" t="inlineStr">
        <is>
          <t>irrigation/HCM/gw_01/status</t>
        </is>
      </c>
      <c r="D9" s="27" t="inlineStr">
        <is>
          <t>JSON heartbeat + online/LWT offline</t>
        </is>
      </c>
      <c r="E9" s="27" t="inlineStr">
        <is>
          <t>Mỗi 60 s + khi connect/mất kết nối</t>
        </is>
      </c>
    </row>
    <row r="10">
      <c r="B10" s="27" t="inlineStr">
        <is>
          <t>Server→Node</t>
        </is>
      </c>
      <c r="C10" s="27" t="inlineStr">
        <is>
          <t>irrigation/HCM/gw_01/node_01/cmd</t>
        </is>
      </c>
      <c r="D10" s="27" t="inlineStr">
        <is>
          <t>JSON lệnh điều khiển</t>
        </is>
      </c>
      <c r="E10" s="27" t="inlineStr">
        <is>
          <t>Server gửi lệnh</t>
        </is>
      </c>
    </row>
    <row r="11">
      <c r="B11" s="27" t="inlineStr">
        <is>
          <t>Server→GW</t>
        </is>
      </c>
      <c r="C11" s="27" t="inlineStr">
        <is>
          <t>irrigation/HCM/gw_01/node_FF/cmd</t>
        </is>
      </c>
      <c r="D11" s="27" t="inlineStr">
        <is>
          <t>{"cmd":"sync_slot","slot_ms":900000}</t>
        </is>
      </c>
      <c r="E11" s="27" t="inlineStr">
        <is>
          <t>Reset mốc t=0 (gateway-level, broadcast)</t>
        </is>
      </c>
    </row>
    <row r="12">
      <c r="B12" s="27" t="inlineStr">
        <is>
          <t>Server→GW</t>
        </is>
      </c>
      <c r="C12" s="27" t="inlineStr">
        <is>
          <t>irrigation/HCM/gw_01/config</t>
        </is>
      </c>
      <c r="D12" s="27" t="inlineStr">
        <is>
          <t>(chưa dùng — ngoài phạm vi)</t>
        </is>
      </c>
      <c r="E12" s="27" t="inlineStr">
        <is>
          <t>TODO remote config</t>
        </is>
      </c>
    </row>
    <row r="14">
      <c r="B14" t="inlineStr">
        <is>
          <t>Subscribe filter gateway: irrigation/HCM/gw_01/+/cmd</t>
        </is>
      </c>
    </row>
  </sheetData>
  <mergeCells count="2">
    <mergeCell ref="B2:F2"/>
    <mergeCell ref="B14:E1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0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0" customWidth="1" min="2" max="2"/>
    <col width="40" customWidth="1" min="3" max="3"/>
    <col width="9" customWidth="1" min="4" max="4"/>
    <col width="15" customWidth="1" min="5" max="5"/>
    <col width="40" customWidth="1" min="6" max="6"/>
    <col width="44" customWidth="1" min="7" max="7"/>
    <col width="56" customWidth="1" min="8" max="8"/>
    <col width="44" customWidth="1" min="9" max="9"/>
    <col width="26" customWidth="1" min="10" max="10"/>
    <col width="10" customWidth="1" min="11" max="11"/>
    <col width="10" customWidth="1" min="12" max="12"/>
    <col width="11" customWidth="1" min="13" max="13"/>
    <col width="44" customWidth="1" min="14" max="14"/>
  </cols>
  <sheetData>
    <row r="1">
      <c r="A1" s="3" t="inlineStr">
        <is>
          <t>Nhóm</t>
        </is>
      </c>
      <c r="B1" s="3" t="inlineStr">
        <is>
          <t>Mã TC</t>
        </is>
      </c>
      <c r="C1" s="3" t="inlineStr">
        <is>
          <t>Tên Test Case</t>
        </is>
      </c>
      <c r="D1" s="3" t="inlineStr">
        <is>
          <t>Loại</t>
        </is>
      </c>
      <c r="E1" s="3" t="inlineStr">
        <is>
          <t>Tầng</t>
        </is>
      </c>
      <c r="F1" s="3" t="inlineStr">
        <is>
          <t>Tiền điều kiện</t>
        </is>
      </c>
      <c r="G1" s="3" t="inlineStr">
        <is>
          <t>Input</t>
        </is>
      </c>
      <c r="H1" s="3" t="inlineStr">
        <is>
          <t>Output mong đợi</t>
        </is>
      </c>
      <c r="I1" s="3" t="inlineStr">
        <is>
          <t>Điều kiện PASS</t>
        </is>
      </c>
      <c r="J1" s="3" t="inlineStr">
        <is>
          <t>Cách Verify</t>
        </is>
      </c>
      <c r="K1" s="3" t="inlineStr">
        <is>
          <t>Kết quả</t>
        </is>
      </c>
      <c r="L1" s="3" t="inlineStr">
        <is>
          <t>Người test</t>
        </is>
      </c>
      <c r="M1" s="3" t="inlineStr">
        <is>
          <t>Ngày test</t>
        </is>
      </c>
      <c r="N1" s="3" t="inlineStr">
        <is>
          <t>Ghi chú</t>
        </is>
      </c>
    </row>
    <row r="2" ht="96" customHeight="1">
      <c r="A2" s="28" t="inlineStr">
        <is>
          <t>A</t>
        </is>
      </c>
      <c r="B2" s="28" t="inlineStr">
        <is>
          <t>TC-A01</t>
        </is>
      </c>
      <c r="C2" s="13" t="inlineStr">
        <is>
          <t>Node cold boot — boot-sync (xin baseline + slot)</t>
        </is>
      </c>
      <c r="D2" s="28" t="inlineStr">
        <is>
          <t>System</t>
        </is>
      </c>
      <c r="E2" s="28" t="inlineStr">
        <is>
          <t>Node↔GW↔Server</t>
        </is>
      </c>
      <c r="F2" s="13" t="inlineStr">
        <is>
          <t>Node vừa flash/erase-flash (NVS baseline TRỐNG = mask 0x00, RTC invalid); gateway + broker online.</t>
        </is>
      </c>
      <c r="G2" s="13" t="inlineStr">
        <is>
          <t>Cấp nguồn node (cold boot).</t>
        </is>
      </c>
      <c r="H2" s="13" t="inlineStr">
        <is>
          <t>① Node: LED blink 3 lần; log 'Cold boot (first power-on)'.
② Log 'Boot sync start: need_baseline=1 need_time=1'.
③ Uplink REQ 0x09: 02 09 03 07 00 00 00 0F (flags=0x03, mask=0x07).
④ Gateway trả chunk baseline + slot; node log 'Boot sync complete: slot=&lt;n&gt; valid=1 baseline=0x07'.
⑤ Sau đó node gửi data bình thường.</t>
        </is>
      </c>
      <c r="I2" s="13" t="inlineStr">
        <is>
          <t>(1) REQ đúng flags/mask + CRC;
(2) node nhận đủ slot + 3 series baseline;
(3) node vào chu kỳ thường &lt; 60 s.</t>
        </is>
      </c>
      <c r="J2" s="13" t="inlineStr">
        <is>
          <t>Serial node + serial gateway (byte uplink).</t>
        </is>
      </c>
      <c r="K2" s="28" t="n"/>
      <c r="L2" s="28" t="n"/>
      <c r="M2" s="28" t="n"/>
      <c r="N2" s="13" t="inlineStr">
        <is>
          <t>[MỚI] Thay cho TC-A01 cũ (chỉ 'baseline data đầu tiên'). Trì hoãn deep-sleep tối đa 15 phút (BOOT_SYNC_CAP_MS).</t>
        </is>
      </c>
    </row>
    <row r="3" ht="96" customHeight="1">
      <c r="A3" s="29" t="inlineStr">
        <is>
          <t>A</t>
        </is>
      </c>
      <c r="B3" s="29" t="inlineStr">
        <is>
          <t>TC-A02</t>
        </is>
      </c>
      <c r="C3" s="30" t="inlineStr">
        <is>
          <t>Gateway boot — publish 'online' ngay khi connect MQTT</t>
        </is>
      </c>
      <c r="D3" s="29" t="inlineStr">
        <is>
          <t>IT</t>
        </is>
      </c>
      <c r="E3" s="29" t="inlineStr">
        <is>
          <t>GW↔Server</t>
        </is>
      </c>
      <c r="F3" s="30" t="inlineStr">
        <is>
          <t>Broker online; cert/credential hợp lệ.</t>
        </is>
      </c>
      <c r="G3" s="30" t="inlineStr">
        <is>
          <t>Bật nguồn gateway.</t>
        </is>
      </c>
      <c r="H3" s="30" t="inlineStr">
        <is>
          <t>Ngay sau MQTT_EVENT_CONNECTED gateway publish tới irrigation/HCM/gw_01/status: {"status":"online","version":"..."} và subscribe filter irrigation/HCM/gw_01/+/cmd.</t>
        </is>
      </c>
      <c r="I3" s="30" t="inlineStr">
        <is>
          <t>Script nhận 'online' ngay sau khi gateway connect; gateway log 'Subscribed to .../+/cmd'.</t>
        </is>
      </c>
      <c r="J3" s="30" t="inlineStr">
        <is>
          <t>Script listen MQTT + serial gateway.</t>
        </is>
      </c>
      <c r="K3" s="29" t="n"/>
      <c r="L3" s="29" t="n"/>
      <c r="M3" s="29" t="n"/>
      <c r="N3" s="30" t="inlineStr">
        <is>
          <t>Giữ nguyên (đã cập nhật payload có 'version').</t>
        </is>
      </c>
    </row>
    <row r="4" ht="96" customHeight="1">
      <c r="A4" s="31" t="inlineStr">
        <is>
          <t>A</t>
        </is>
      </c>
      <c r="B4" s="31" t="inlineStr">
        <is>
          <t>TC-A03</t>
        </is>
      </c>
      <c r="C4" s="27" t="inlineStr">
        <is>
          <t>Gateway heartbeat 60 s — đầy đủ field trạng thái</t>
        </is>
      </c>
      <c r="D4" s="31" t="inlineStr">
        <is>
          <t>IT</t>
        </is>
      </c>
      <c r="E4" s="31" t="inlineStr">
        <is>
          <t>GW↔Server</t>
        </is>
      </c>
      <c r="F4" s="27" t="inlineStr">
        <is>
          <t>Gateway đã online.</t>
        </is>
      </c>
      <c r="G4" s="27" t="inlineStr">
        <is>
          <t>Chờ ≥ 130 s, quan sát irrigation/HCM/gw_01/status.</t>
        </is>
      </c>
      <c r="H4" s="27" t="inlineStr">
        <is>
          <t>&gt;= 2 message {"status":"online","nodes_registered":N,"commands_cached":M,"uptime_seconds":&lt;tăng&gt;,"version":"...","site":"HCM","gateway_id":"gw_01"} cách nhau ~60 s.</t>
        </is>
      </c>
      <c r="I4" s="27" t="inlineStr">
        <is>
          <t>2 heartbeat cách ~60 s; uptime tăng; nodes_registered = số node thật; commands_cached khớp log command_cache.</t>
        </is>
      </c>
      <c r="J4" s="27" t="inlineStr">
        <is>
          <t>Script nhận 2 message trong 130 s + so log.</t>
        </is>
      </c>
      <c r="K4" s="31" t="n"/>
      <c r="L4" s="31" t="n"/>
      <c r="M4" s="31" t="n"/>
      <c r="N4" s="27" t="inlineStr">
        <is>
          <t>Giữ nguyên.</t>
        </is>
      </c>
    </row>
    <row r="5" ht="96" customHeight="1">
      <c r="A5" s="29" t="inlineStr">
        <is>
          <t>A</t>
        </is>
      </c>
      <c r="B5" s="29" t="inlineStr">
        <is>
          <t>TC-A04</t>
        </is>
      </c>
      <c r="C5" s="30" t="inlineStr">
        <is>
          <t>LWT offline khi gateway mất kết nối broker</t>
        </is>
      </c>
      <c r="D5" s="29" t="inlineStr">
        <is>
          <t>System</t>
        </is>
      </c>
      <c r="E5" s="29" t="inlineStr">
        <is>
          <t>GW↔Server</t>
        </is>
      </c>
      <c r="F5" s="30" t="inlineStr">
        <is>
          <t>Gateway đang online.</t>
        </is>
      </c>
      <c r="G5" s="30" t="inlineStr">
        <is>
          <t>Tắt broker (hoặc ngắt mạng gateway) và chờ ~1–2 phút.</t>
        </is>
      </c>
      <c r="H5" s="30" t="inlineStr">
        <is>
          <t>Broker phát Last Will {"status":"offline"} trên irrigation/HCM/gw_01/status.</t>
        </is>
      </c>
      <c r="I5" s="30" t="inlineStr">
        <is>
          <t>Script nhận 'offline' trong &lt;= ~90 s kể từ khi ngắt.</t>
        </is>
      </c>
      <c r="J5" s="30" t="inlineStr">
        <is>
          <t>Script listen MQTT.</t>
        </is>
      </c>
      <c r="K5" s="29" t="n"/>
      <c r="L5" s="29" t="n"/>
      <c r="M5" s="29" t="n"/>
      <c r="N5" s="30" t="inlineStr">
        <is>
          <t>Thời gian phụ thuộc keepalive broker. Giữ nguyên.</t>
        </is>
      </c>
    </row>
    <row r="6" ht="96" customHeight="1">
      <c r="A6" s="28" t="inlineStr">
        <is>
          <t>A</t>
        </is>
      </c>
      <c r="B6" s="28" t="inlineStr">
        <is>
          <t>TC-A05</t>
        </is>
      </c>
      <c r="C6" s="13" t="inlineStr">
        <is>
          <t>Deep-sleep wake (RTC còn) — BỎ QUA boot-sync</t>
        </is>
      </c>
      <c r="D6" s="28" t="inlineStr">
        <is>
          <t>System</t>
        </is>
      </c>
      <c r="E6" s="28" t="inlineStr">
        <is>
          <t>Node</t>
        </is>
      </c>
      <c r="F6" s="13" t="inlineStr">
        <is>
          <t>Node đã có slot + baseline; thức dậy tự nhiên &gt;= 3 chu kỳ (300 s/chu kỳ).</t>
        </is>
      </c>
      <c r="G6" s="13" t="inlineStr">
        <is>
          <t>Không can thiệp; quan sát log node.</t>
        </is>
      </c>
      <c r="H6" s="13" t="inlineStr">
        <is>
          <t>Mỗi wake: log 'Boot sync: slot + baseline present - skipping'.
KHÔNG phát sinh uplink REQ 0x09.</t>
        </is>
      </c>
      <c r="I6" s="13" t="inlineStr">
        <is>
          <t>3 wake liên tiếp đều skip; gateway không thấy frame 0x09.</t>
        </is>
      </c>
      <c r="J6" s="13" t="inlineStr">
        <is>
          <t>Serial node (+ gateway để chắc không có 0x09).</t>
        </is>
      </c>
      <c r="K6" s="28" t="n"/>
      <c r="L6" s="28" t="n"/>
      <c r="M6" s="28" t="n"/>
      <c r="N6" s="13" t="inlineStr">
        <is>
          <t>[MỚI] Trước đây không có test boot-sync.</t>
        </is>
      </c>
    </row>
    <row r="7" ht="96" customHeight="1">
      <c r="A7" s="28" t="inlineStr">
        <is>
          <t>B</t>
        </is>
      </c>
      <c r="B7" s="28" t="inlineStr">
        <is>
          <t>TC-B01</t>
        </is>
      </c>
      <c r="C7" s="13" t="inlineStr">
        <is>
          <t>Uplink data đầy đủ 0x01 → publish data JSON + ACK 7B</t>
        </is>
      </c>
      <c r="D7" s="28" t="inlineStr">
        <is>
          <t>IT</t>
        </is>
      </c>
      <c r="E7" s="28" t="inlineStr">
        <is>
          <t>Node↔GW</t>
        </is>
      </c>
      <c r="F7" s="13" t="inlineStr">
        <is>
          <t>Node đã gửi baseline lần đầu; gateway có sẵn giá trị node.</t>
        </is>
      </c>
      <c r="G7" s="13" t="inlineStr">
        <is>
          <t>Uplink 8B: 01 01 00 32 44 41 55 62  (node=1, type=0x01, flags=0, soil=50, temp=28, hum=65, batt=85).</t>
        </is>
      </c>
      <c r="H7" s="13" t="inlineStr">
        <is>
          <t>① irrigation/HCM/gw_01/node_01/data: {"node":1,"soil":50,"temp":28,"hum":65,"pump":0,"battery":85,"threshold_exceeded":false,"timestamp":"..."}.
② Gateway trả downlink 7B = ACK rỗng 0x09 (node 1, slot 32): 01 05 09 00 00 20 2D.</t>
        </is>
      </c>
      <c r="I7" s="13" t="inlineStr">
        <is>
          <t>Data JSON khớp + downlink 7 byte (đủ byte slot) về node.</t>
        </is>
      </c>
      <c r="J7" s="13" t="inlineStr">
        <is>
          <t>Script nhận data + serial gateway byte TX.</t>
        </is>
      </c>
      <c r="K7" s="28" t="n"/>
      <c r="L7" s="28" t="n"/>
      <c r="M7" s="28" t="n"/>
      <c r="N7" s="13" t="inlineStr">
        <is>
          <t>[CẬP NHẬT] ACK đổi từ 6 → 7 byte (thêm slot).</t>
        </is>
      </c>
    </row>
    <row r="8" ht="96" customHeight="1">
      <c r="A8" s="31" t="inlineStr">
        <is>
          <t>B</t>
        </is>
      </c>
      <c r="B8" s="31" t="inlineStr">
        <is>
          <t>TC-B02</t>
        </is>
      </c>
      <c r="C8" s="27" t="inlineStr">
        <is>
          <t>Compact 0x06 — field vắng giữ giá trị cũ</t>
        </is>
      </c>
      <c r="D8" s="31" t="inlineStr">
        <is>
          <t>IT</t>
        </is>
      </c>
      <c r="E8" s="31" t="inlineStr">
        <is>
          <t>Node↔GW</t>
        </is>
      </c>
      <c r="F8" s="27" t="inlineStr">
        <is>
          <t>Gateway đã có soil=50, temp=28, hum=65, battery=85.</t>
        </is>
      </c>
      <c r="G8" s="27" t="inlineStr">
        <is>
          <t>Compact đổi soil(0x28=40)+flags(0x08), presence=0x10|0x04=0x14: 01 06 14 28 08 33</t>
        </is>
      </c>
      <c r="H8" s="27" t="inlineStr">
        <is>
          <t>Data JSON soil=40 (đổi); temp/hum/battery GIỮ giá trị cũ (28/65/85).</t>
        </is>
      </c>
      <c r="I8" s="27" t="inlineStr">
        <is>
          <t>Field vắng trong presence KHÔNG bị ghi đè.</t>
        </is>
      </c>
      <c r="J8" s="27" t="inlineStr">
        <is>
          <t>Script nhận soil=40,temp=28,hum=65,bat=85.</t>
        </is>
      </c>
      <c r="K8" s="31" t="n"/>
      <c r="L8" s="31" t="n"/>
      <c r="M8" s="31" t="n"/>
      <c r="N8" s="27" t="inlineStr">
        <is>
          <t>Giữ nguyên.</t>
        </is>
      </c>
    </row>
    <row r="9" ht="96" customHeight="1">
      <c r="A9" s="29" t="inlineStr">
        <is>
          <t>B</t>
        </is>
      </c>
      <c r="B9" s="29" t="inlineStr">
        <is>
          <t>TC-B03</t>
        </is>
      </c>
      <c r="C9" s="30" t="inlineStr">
        <is>
          <t>Compact sau khi gateway reboot (không baseline) → field vắng = 0</t>
        </is>
      </c>
      <c r="D9" s="29" t="inlineStr">
        <is>
          <t>IT</t>
        </is>
      </c>
      <c r="E9" s="29" t="inlineStr">
        <is>
          <t>Node↔GW</t>
        </is>
      </c>
      <c r="F9" s="30" t="inlineStr">
        <is>
          <t>Node chạy ổn định (chỉ gửi delta/compact); gateway VỪA reboot → bảng node trống.</t>
        </is>
      </c>
      <c r="G9" s="30" t="inlineStr">
        <is>
          <t>Node gửi compact chỉ có soil: 01 06 04 28 2B</t>
        </is>
      </c>
      <c r="H9" s="30" t="inlineStr">
        <is>
          <t>node_find_or_create tạo node mới (memset 0) → data JSON: soil=40 nhưng temp:0, hum:0, battery:0.</t>
        </is>
      </c>
      <c r="I9" s="30" t="inlineStr">
        <is>
          <t>Xác nhận data JSON có temp:0, hum:0, battery:0 (đúng hành vi code).</t>
        </is>
      </c>
      <c r="J9" s="30" t="inlineStr">
        <is>
          <t>Script nhận data + serial gateway.</t>
        </is>
      </c>
      <c r="K9" s="29" t="n"/>
      <c r="L9" s="29" t="n"/>
      <c r="M9" s="29" t="n"/>
      <c r="N9" s="30" t="inlineStr">
        <is>
          <t>Hành vi hiện tại. Muốn dữ liệu đúng: server gửi {"cmd":"report"} hoặc node gửi baseline sau reboot.</t>
        </is>
      </c>
    </row>
    <row r="10" ht="96" customHeight="1">
      <c r="A10" s="31" t="inlineStr">
        <is>
          <t>B</t>
        </is>
      </c>
      <c r="B10" s="31" t="inlineStr">
        <is>
          <t>TC-B04</t>
        </is>
      </c>
      <c r="C10" s="27" t="inlineStr">
        <is>
          <t>Heartbeat 0x02 — online + last_seen, KHÔNG publish data</t>
        </is>
      </c>
      <c r="D10" s="31" t="inlineStr">
        <is>
          <t>IT</t>
        </is>
      </c>
      <c r="E10" s="31" t="inlineStr">
        <is>
          <t>Node↔GW</t>
        </is>
      </c>
      <c r="F10" s="27" t="inlineStr">
        <is>
          <t>Node đang online.</t>
        </is>
      </c>
      <c r="G10" s="27" t="inlineStr">
        <is>
          <t>Uplink 8B: 01 02 00 00 00 00 55 56 (battery=0x55).</t>
        </is>
      </c>
      <c r="H10" s="27" t="inlineStr">
        <is>
          <t>① Gateway node_mark_online + cập nhật last_seen.
② KHÔNG publish data.
③ Nếu node trước đó offline → publish status online.
④ Gateway trả downlink 7B (ACK rỗng 0x09) để node reset gatewayLostCount.</t>
        </is>
      </c>
      <c r="I10" s="27" t="inlineStr">
        <is>
          <t>Không có data mới; status chỉ publish khi node vừa offline.</t>
        </is>
      </c>
      <c r="J10" s="27" t="inlineStr">
        <is>
          <t>Serial gateway + script (không thấy data mới).</t>
        </is>
      </c>
      <c r="K10" s="31" t="n"/>
      <c r="L10" s="31" t="n"/>
      <c r="M10" s="31" t="n"/>
      <c r="N10" s="27" t="inlineStr">
        <is>
          <t>Giữ nguyên. Chu kỳ heartbeat thực tế: mỗi HEARTBEAT_CYCLES=5 chu kỳ (~25 phút, sleep 300 s).</t>
        </is>
      </c>
    </row>
    <row r="11" ht="96" customHeight="1">
      <c r="A11" s="29" t="inlineStr">
        <is>
          <t>B</t>
        </is>
      </c>
      <c r="B11" s="29" t="inlineStr">
        <is>
          <t>TC-B05</t>
        </is>
      </c>
      <c r="C11" s="30" t="inlineStr">
        <is>
          <t>Alarm 0x04 — cross-verify flags vs soil</t>
        </is>
      </c>
      <c r="D11" s="29" t="inlineStr">
        <is>
          <t>IT</t>
        </is>
      </c>
      <c r="E11" s="29" t="inlineStr">
        <is>
          <t>Node↔GW</t>
        </is>
      </c>
      <c r="F11" s="30" t="inlineStr">
        <is>
          <t>-</t>
        </is>
      </c>
      <c r="G11" s="30" t="inlineStr">
        <is>
          <t>Alarm sensor error (code=1) gửi ở cả flags &amp; soil: 01 04 01 01 00 00 FF FA</t>
        </is>
      </c>
      <c r="H11" s="30" t="inlineStr">
        <is>
          <t>① irrigation/HCM/gw_01/node_01/alarm: {"node":1,"alarm_code":1,"type":"alarm","message":"Sensor error — 3 consecutive sensor read failures","flags":1}.
② node_mark_online + last_seen; KHÔNG ghi đè soil/temp/hum/battery.
③ Gateway trả ACK rỗng; node không ACK lại alarm.</t>
        </is>
      </c>
      <c r="I11" s="30" t="inlineStr">
        <is>
          <t>Alarm JSON đúng + data cũ không đổi.</t>
        </is>
      </c>
      <c r="J11" s="30" t="inlineStr">
        <is>
          <t>Script nhận alarm + kiểm tra data giữ nguyên.</t>
        </is>
      </c>
      <c r="K11" s="29" t="n"/>
      <c r="L11" s="29" t="n"/>
      <c r="M11" s="29" t="n"/>
      <c r="N11" s="30" t="inlineStr">
        <is>
          <t>Giữ nguyên.</t>
        </is>
      </c>
    </row>
    <row r="12" ht="96" customHeight="1">
      <c r="A12" s="31" t="inlineStr">
        <is>
          <t>B</t>
        </is>
      </c>
      <c r="B12" s="31" t="inlineStr">
        <is>
          <t>TC-B06</t>
        </is>
      </c>
      <c r="C12" s="27" t="inlineStr">
        <is>
          <t>Alarm mismatch flags vs soil — vẫn dùng flags</t>
        </is>
      </c>
      <c r="D12" s="31" t="inlineStr">
        <is>
          <t>IT</t>
        </is>
      </c>
      <c r="E12" s="31" t="inlineStr">
        <is>
          <t>Node↔GW</t>
        </is>
      </c>
      <c r="F12" s="27" t="inlineStr">
        <is>
          <t>-</t>
        </is>
      </c>
      <c r="G12" s="27" t="inlineStr">
        <is>
          <t>Alarm flags=0x03 (relay error), soil=0x05 (mismatch): 01 04 03 05 00 00 FF FC</t>
        </is>
      </c>
      <c r="H12" s="27" t="inlineStr">
        <is>
          <t>Gateway log 'Alarm code mismatch: flags=0x03 soil=0x05, using flags'; publish alarm_code=3.</t>
        </is>
      </c>
      <c r="I12" s="27" t="inlineStr">
        <is>
          <t>alarm_code=3 trong MQTT.</t>
        </is>
      </c>
      <c r="J12" s="27" t="inlineStr">
        <is>
          <t>Script nhận alarm.</t>
        </is>
      </c>
      <c r="K12" s="31" t="n"/>
      <c r="L12" s="31" t="n"/>
      <c r="M12" s="31" t="n"/>
      <c r="N12" s="27" t="inlineStr">
        <is>
          <t>Giữ nguyên.</t>
        </is>
      </c>
    </row>
    <row r="13" ht="96" customHeight="1">
      <c r="A13" s="29" t="inlineStr">
        <is>
          <t>B</t>
        </is>
      </c>
      <c r="B13" s="29" t="inlineStr">
        <is>
          <t>TC-B07</t>
        </is>
      </c>
      <c r="C13" s="30" t="inlineStr">
        <is>
          <t>Node ACK 0x03 sau khi thực thi lệnh</t>
        </is>
      </c>
      <c r="D13" s="29" t="inlineStr">
        <is>
          <t>IT</t>
        </is>
      </c>
      <c r="E13" s="29" t="inlineStr">
        <is>
          <t>Node↔GW</t>
        </is>
      </c>
      <c r="F13" s="30" t="inlineStr">
        <is>
          <t>Node vừa nhận downlink 0x05 có cmd hợp lệ trong cửa sổ 800 ms.</t>
        </is>
      </c>
      <c r="G13" s="30" t="inlineStr">
        <is>
          <t>Node nhận downlink set_threshold 01 05 04 14 50 20 64.</t>
        </is>
      </c>
      <c r="H13" s="30" t="inlineStr">
        <is>
          <t>① Node log 'Cmd: Set thresholds Low=20% High=80%' + lưu NVS.
② Node gửi uplink ACK 0x03 (8B) trong cửa sổ.
③ Gateway command_cache_ack() → xoá lệnh khỏi cache.</t>
        </is>
      </c>
      <c r="I13" s="30" t="inlineStr">
        <is>
          <t>(1) downlink đúng byte; (2) ACK 0x03 nhận trong ~3 s; (3) commands_cached giảm.</t>
        </is>
      </c>
      <c r="J13" s="30" t="inlineStr">
        <is>
          <t>Serial node + gateway.</t>
        </is>
      </c>
      <c r="K13" s="29" t="n"/>
      <c r="L13" s="29" t="n"/>
      <c r="M13" s="29" t="n"/>
      <c r="N13" s="30" t="inlineStr">
        <is>
          <t>Giữ nguyên. cửa sổ downlink sau uplink = DOWNLINK_WINDOW_MS 800 ms.</t>
        </is>
      </c>
    </row>
    <row r="14" ht="96" customHeight="1">
      <c r="A14" s="28" t="inlineStr">
        <is>
          <t>B</t>
        </is>
      </c>
      <c r="B14" s="28" t="inlineStr">
        <is>
          <t>TC-B08</t>
        </is>
      </c>
      <c r="C14" s="13" t="inlineStr">
        <is>
          <t>Uplink REQ 0x09 — node xin time / baseline</t>
        </is>
      </c>
      <c r="D14" s="28" t="inlineStr">
        <is>
          <t>IT</t>
        </is>
      </c>
      <c r="E14" s="28" t="inlineStr">
        <is>
          <t>Node↔GW</t>
        </is>
      </c>
      <c r="F14" s="13" t="inlineStr">
        <is>
          <t>Node thiếu slot (need_time) và/hoặc thiếu baseline (need_baseline).</t>
        </is>
      </c>
      <c r="G14" s="13" t="inlineStr">
        <is>
          <t>REQ time+baseline: 02 09 03 07 00 00 00 0F  |  REQ time only: 02 09 02 00 00 00 00 09</t>
        </is>
      </c>
      <c r="H14" s="13" t="inlineStr">
        <is>
          <t>Gateway đọc flags: bit0 REQ_BASELINE → baseline_pending; bit1 REQ_TIME → trả downlink có slot.</t>
        </is>
      </c>
      <c r="I14" s="13" t="inlineStr">
        <is>
          <t>Đúng flags/mask + CRC; gateway đáp bằng chunk (không phải ACK rỗng khi cần baseline).</t>
        </is>
      </c>
      <c r="J14" s="13" t="inlineStr">
        <is>
          <t>Serial gateway (byte) + log 'REQ node'.</t>
        </is>
      </c>
      <c r="K14" s="28" t="n"/>
      <c r="L14" s="28" t="n"/>
      <c r="M14" s="28" t="n"/>
      <c r="N14" s="13" t="inlineStr">
        <is>
          <t>[MỚI] Frame type 0x09 mới.</t>
        </is>
      </c>
    </row>
    <row r="15" ht="96" customHeight="1">
      <c r="A15" s="28" t="inlineStr">
        <is>
          <t>B</t>
        </is>
      </c>
      <c r="B15" s="28" t="inlineStr">
        <is>
          <t>TC-B09</t>
        </is>
      </c>
      <c r="C15" s="13" t="inlineStr">
        <is>
          <t>Uplink BASELINE_DONE 0x08 — node báo đã lưu 1 series</t>
        </is>
      </c>
      <c r="D15" s="28" t="inlineStr">
        <is>
          <t>IT</t>
        </is>
      </c>
      <c r="E15" s="28" t="inlineStr">
        <is>
          <t>Node↔GW</t>
        </is>
      </c>
      <c r="F15" s="13" t="inlineStr">
        <is>
          <t>Node vừa commit đủ điểm của 1 series baseline.</t>
        </is>
      </c>
      <c r="G15" s="13" t="inlineStr">
        <is>
          <t>Uplink 8B: 02 08 00 01 00 00 00 0B (series 0, version 1).</t>
        </is>
      </c>
      <c r="H15" s="13" t="inlineStr">
        <is>
          <t>① Gateway log 'BASELINE_DONE node 0x02 series=0 v1'.
② baseline_mark_done() → khi đủ 3 series log 'baseline session fully delivered'.
③ Publish irrigation/HCM/gw_01/node_01/baseline {"status":"done","series":0,"version":1}.</t>
        </is>
      </c>
      <c r="I15" s="13" t="inlineStr">
        <is>
          <t>Mỗi 0x08 → 1 publish 'done'; series tăng 0→2.</t>
        </is>
      </c>
      <c r="J15" s="13" t="inlineStr">
        <is>
          <t>Script server + serial gateway.</t>
        </is>
      </c>
      <c r="K15" s="28" t="n"/>
      <c r="L15" s="28" t="n"/>
      <c r="M15" s="28" t="n"/>
      <c r="N15" s="13" t="inlineStr">
        <is>
          <t>[MỚI]</t>
        </is>
      </c>
    </row>
    <row r="16" ht="96" customHeight="1">
      <c r="A16" s="31" t="inlineStr">
        <is>
          <t>C</t>
        </is>
      </c>
      <c r="B16" s="31" t="inlineStr">
        <is>
          <t>TC-C01</t>
        </is>
      </c>
      <c r="C16" s="27" t="inlineStr">
        <is>
          <t>Schema data JSON chuẩn + threshold_exceeded=false</t>
        </is>
      </c>
      <c r="D16" s="31" t="inlineStr">
        <is>
          <t>IT</t>
        </is>
      </c>
      <c r="E16" s="31" t="inlineStr">
        <is>
          <t>GW↔Server</t>
        </is>
      </c>
      <c r="F16" s="27" t="inlineStr">
        <is>
          <t>Soil trong band 30–70.</t>
        </is>
      </c>
      <c r="G16" s="27" t="inlineStr">
        <is>
          <t>Uplink 0x01 với soil=50.</t>
        </is>
      </c>
      <c r="H16" s="27" t="inlineStr">
        <is>
          <t>Data JSON đủ node,soil,temp,hum,pump,battery,timestamp,threshold_exceeded=false; KHÔNG có threshold_low/high.</t>
        </is>
      </c>
      <c r="I16" s="27" t="inlineStr">
        <is>
          <t>Schema đúng và threshold_exceeded=false.</t>
        </is>
      </c>
      <c r="J16" s="27" t="inlineStr">
        <is>
          <t>Script --check-schema data.</t>
        </is>
      </c>
      <c r="K16" s="31" t="n"/>
      <c r="L16" s="31" t="n"/>
      <c r="M16" s="31" t="n"/>
      <c r="N16" s="27" t="inlineStr">
        <is>
          <t>Giữ nguyên.</t>
        </is>
      </c>
    </row>
    <row r="17" ht="96" customHeight="1">
      <c r="A17" s="29" t="inlineStr">
        <is>
          <t>C</t>
        </is>
      </c>
      <c r="B17" s="29" t="inlineStr">
        <is>
          <t>TC-C02</t>
        </is>
      </c>
      <c r="C17" s="30" t="inlineStr">
        <is>
          <t>Vượt threshold — data có flag + alarm (3b)</t>
        </is>
      </c>
      <c r="D17" s="29" t="inlineStr">
        <is>
          <t>IT</t>
        </is>
      </c>
      <c r="E17" s="29" t="inlineStr">
        <is>
          <t>GW↔Server</t>
        </is>
      </c>
      <c r="F17" s="30" t="inlineStr">
        <is>
          <t>Ngưỡng 30–70.</t>
        </is>
      </c>
      <c r="G17" s="30" t="inlineStr">
        <is>
          <t>Uplink 0x01 với soil=15 (ngoài low=30).</t>
        </is>
      </c>
      <c r="H17" s="30" t="inlineStr">
        <is>
          <t>① data: threshold_exceeded=true, kèm threshold_low=30, threshold_high=70.
② alarm: {"node":1,"soil":15,"type":"alarm","message":"Sensor alarm triggered","threshold_low":30,"threshold_high":70}.</t>
        </is>
      </c>
      <c r="I17" s="30" t="inlineStr">
        <is>
          <t>Data + alarm đúng nội dung; alarm 3b chỉ sinh khi node KHÔNG gửi alarm packet 0x04.</t>
        </is>
      </c>
      <c r="J17" s="30" t="inlineStr">
        <is>
          <t>Script suite threshold_alarm.json.</t>
        </is>
      </c>
      <c r="K17" s="29" t="n"/>
      <c r="L17" s="29" t="n"/>
      <c r="M17" s="29" t="n"/>
      <c r="N17" s="30" t="inlineStr">
        <is>
          <t>Giữ nguyên.</t>
        </is>
      </c>
    </row>
    <row r="18" ht="96" customHeight="1">
      <c r="A18" s="31" t="inlineStr">
        <is>
          <t>C</t>
        </is>
      </c>
      <c r="B18" s="31" t="inlineStr">
        <is>
          <t>TC-C03</t>
        </is>
      </c>
      <c r="C18" s="27" t="inlineStr">
        <is>
          <t>Alarm mapper — code 1..5 → message</t>
        </is>
      </c>
      <c r="D18" s="31" t="inlineStr">
        <is>
          <t>IT</t>
        </is>
      </c>
      <c r="E18" s="31" t="inlineStr">
        <is>
          <t>GW↔Server</t>
        </is>
      </c>
      <c r="F18" s="27" t="inlineStr">
        <is>
          <t>-</t>
        </is>
      </c>
      <c r="G18" s="27" t="inlineStr">
        <is>
          <t>Từng alarm code 1..5 (flags=soil=code).</t>
        </is>
      </c>
      <c r="H18" s="27" t="inlineStr">
        <is>
          <t>message đúng bảng alarm (Sensor error / Soil out of range / Relay error / Low battery / Gateway lost).</t>
        </is>
      </c>
      <c r="I18" s="27" t="inlineStr">
        <is>
          <t>Alarm JSON message đúng từng code.</t>
        </is>
      </c>
      <c r="J18" s="27" t="inlineStr">
        <is>
          <t>Script kiểm tra từng code.</t>
        </is>
      </c>
      <c r="K18" s="31" t="n"/>
      <c r="L18" s="31" t="n"/>
      <c r="M18" s="31" t="n"/>
      <c r="N18" s="27" t="inlineStr">
        <is>
          <t>Giữ nguyên.</t>
        </is>
      </c>
    </row>
    <row r="19" ht="96" customHeight="1">
      <c r="A19" s="29" t="inlineStr">
        <is>
          <t>C</t>
        </is>
      </c>
      <c r="B19" s="29" t="inlineStr">
        <is>
          <t>TC-C04</t>
        </is>
      </c>
      <c r="C19" s="30" t="inlineStr">
        <is>
          <t>Gateway status — nodes_registered &amp; commands_cached</t>
        </is>
      </c>
      <c r="D19" s="29" t="inlineStr">
        <is>
          <t>IT</t>
        </is>
      </c>
      <c r="E19" s="29" t="inlineStr">
        <is>
          <t>GW↔Server</t>
        </is>
      </c>
      <c r="F19" s="30" t="inlineStr">
        <is>
          <t>2 node đăng ký; có 2 lệnh đang cache.</t>
        </is>
      </c>
      <c r="G19" s="30" t="inlineStr">
        <is>
          <t>Đọc irrigation/HCM/gw_01/status.</t>
        </is>
      </c>
      <c r="H19" s="30" t="inlineStr">
        <is>
          <t>nodes_registered=2, commands_cached=2.</t>
        </is>
      </c>
      <c r="I19" s="30" t="inlineStr">
        <is>
          <t>Khớp command_cache_print trên gateway.</t>
        </is>
      </c>
      <c r="J19" s="30" t="inlineStr">
        <is>
          <t>So log gateway với payload MQTT.</t>
        </is>
      </c>
      <c r="K19" s="29" t="n"/>
      <c r="L19" s="29" t="n"/>
      <c r="M19" s="29" t="n"/>
      <c r="N19" s="30" t="inlineStr">
        <is>
          <t>Giữ nguyên.</t>
        </is>
      </c>
    </row>
    <row r="20" ht="96" customHeight="1">
      <c r="A20" s="32" t="inlineStr">
        <is>
          <t>C</t>
        </is>
      </c>
      <c r="B20" s="32" t="inlineStr">
        <is>
          <t>TC-C05</t>
        </is>
      </c>
      <c r="C20" s="23" t="inlineStr">
        <is>
          <t>Node offline theo timeout SUY RA từ heartbeat (không còn 180 s)</t>
        </is>
      </c>
      <c r="D20" s="32" t="inlineStr">
        <is>
          <t>System</t>
        </is>
      </c>
      <c r="E20" s="32" t="inlineStr">
        <is>
          <t>GW↔Server</t>
        </is>
      </c>
      <c r="F20" s="23" t="inlineStr">
        <is>
          <t>Node đang online (sleep 300 s, HEARTBEAT_CYCLES=5).</t>
        </is>
      </c>
      <c r="G20" s="23" t="inlineStr">
        <is>
          <t>Dừng node (tắt nguồn); chờ hết timeout.
timeout = sleep_s × (HEARTBEAT_CYCLES+1) × 2 = 300×6×2 = 3600 s (&gt;= 60 s).</t>
        </is>
      </c>
      <c r="H20" s="23" t="inlineStr">
        <is>
          <t>Sau ~3600 s gateway log 'Node 0x%02X timeout: ...' và publish {"node":1,"status":"offline","timestamp":&lt;epoch&gt;}.</t>
        </is>
      </c>
      <c r="I20" s="23" t="inlineStr">
        <is>
          <t>Chỉ offline sau ~3600 s; trước đó không có message offline dù node im lặng 30 phút.</t>
        </is>
      </c>
      <c r="J20" s="23" t="inlineStr">
        <is>
          <t>Script listen theo thời gian + serial gateway.</t>
        </is>
      </c>
      <c r="K20" s="32" t="n"/>
      <c r="L20" s="32" t="n"/>
      <c r="M20" s="32" t="n"/>
      <c r="N20" s="23" t="inlineStr">
        <is>
          <t>[CẬP NHẬT] BỎ test offline 180 s (NODE_TIMEOUT_MS cũ). Timeout giờ suy ra từ sleep_interval của node.</t>
        </is>
      </c>
    </row>
    <row r="21" ht="96" customHeight="1">
      <c r="A21" s="28" t="inlineStr">
        <is>
          <t>C</t>
        </is>
      </c>
      <c r="B21" s="28" t="inlineStr">
        <is>
          <t>TC-C06</t>
        </is>
      </c>
      <c r="C21" s="13" t="inlineStr">
        <is>
          <t>Node online trở lại — publish status online 1 lần</t>
        </is>
      </c>
      <c r="D21" s="28" t="inlineStr">
        <is>
          <t>IT</t>
        </is>
      </c>
      <c r="E21" s="28" t="inlineStr">
        <is>
          <t>GW↔Server</t>
        </is>
      </c>
      <c r="F21" s="13" t="inlineStr">
        <is>
          <t>Node đã bị đánh offline (TC-C05).</t>
        </is>
      </c>
      <c r="G21" s="13" t="inlineStr">
        <is>
          <t>Cấp nguồn / nhấn nút để node gửi uplink.</t>
        </is>
      </c>
      <c r="H21" s="13" t="inlineStr">
        <is>
          <t>Gateway phát hiện was_offline → publish irrigation/HCM/gw_01/node_01/status {"node":1,"status":"online",...} đúng 1 lần, rồi xử lý data bình thường.</t>
        </is>
      </c>
      <c r="I21" s="13" t="inlineStr">
        <is>
          <t>Có 1 message online; không lặp mỗi uplink.</t>
        </is>
      </c>
      <c r="J21" s="13" t="inlineStr">
        <is>
          <t>Script listen MQTT.</t>
        </is>
      </c>
      <c r="K21" s="28" t="n"/>
      <c r="L21" s="28" t="n"/>
      <c r="M21" s="28" t="n"/>
      <c r="N21" s="13" t="inlineStr">
        <is>
          <t>[MỚI]</t>
        </is>
      </c>
    </row>
    <row r="22" ht="96" customHeight="1">
      <c r="A22" s="28" t="inlineStr">
        <is>
          <t>C</t>
        </is>
      </c>
      <c r="B22" s="28" t="inlineStr">
        <is>
          <t>TC-C07</t>
        </is>
      </c>
      <c r="C22" s="13" t="inlineStr">
        <is>
          <t>Topic baseline — publish 'request' và 'done'</t>
        </is>
      </c>
      <c r="D22" s="28" t="inlineStr">
        <is>
          <t>IT</t>
        </is>
      </c>
      <c r="E22" s="28" t="inlineStr">
        <is>
          <t>GW↔Server</t>
        </is>
      </c>
      <c r="F22" s="13" t="inlineStr">
        <is>
          <t>Node gửi REQ 0x09 hoặc 0x08 trong lúc test.</t>
        </is>
      </c>
      <c r="G22" s="13" t="inlineStr">
        <is>
          <t>Quan sát irrigation/HCM/gw_01/node_01/baseline.</t>
        </is>
      </c>
      <c r="H22" s="13" t="inlineStr">
        <is>
          <t>① Khi nhận REQ: {"node":1,"status":"request","series_mask":7}.
② Khi nhận 0x08: {"node":1,"status":"done","series":n,"version":v}.</t>
        </is>
      </c>
      <c r="I22" s="13" t="inlineStr">
        <is>
          <t>Payload khớp schema 'baseline'; series tăng dần.</t>
        </is>
      </c>
      <c r="J22" s="13" t="inlineStr">
        <is>
          <t>Script --check-schema baseline.</t>
        </is>
      </c>
      <c r="K22" s="28" t="n"/>
      <c r="L22" s="28" t="n"/>
      <c r="M22" s="28" t="n"/>
      <c r="N22" s="13" t="inlineStr">
        <is>
          <t>[MỚI]</t>
        </is>
      </c>
    </row>
    <row r="23" ht="96" customHeight="1">
      <c r="A23" s="28" t="inlineStr">
        <is>
          <t>D</t>
        </is>
      </c>
      <c r="B23" s="28" t="inlineStr">
        <is>
          <t>TC-D01</t>
        </is>
      </c>
      <c r="C23" s="13" t="inlineStr">
        <is>
          <t>set_threshold (20–80) end-to-end (downlink 7B có slot)</t>
        </is>
      </c>
      <c r="D23" s="28" t="inlineStr">
        <is>
          <t>IT</t>
        </is>
      </c>
      <c r="E23" s="28" t="inlineStr">
        <is>
          <t>Server↔Node (E2E)</t>
        </is>
      </c>
      <c r="F23" s="13" t="inlineStr">
        <is>
          <t>Node 0x01 online; ngưỡng mặc định 30–70; slot hiện tại=32.</t>
        </is>
      </c>
      <c r="G23" s="13" t="inlineStr">
        <is>
          <t>Publish {"cmd":"set_threshold","low":20,"high":80} → downlink 01 05 04 14 50 20 64.</t>
        </is>
      </c>
      <c r="H23" s="13" t="inlineStr">
        <is>
          <t>Node log 'Cmd: Set thresholds Low=20% High=80%' + NVS + ACK 0x03; gateway cập nhật local ngay (node_set_threshold).</t>
        </is>
      </c>
      <c r="I23" s="13" t="inlineStr">
        <is>
          <t>(1) downlink đúng 7 byte; (2) node ACK trong 3 s; (3) lệnh xoá khỏi cache; (4) local 20–80.</t>
        </is>
      </c>
      <c r="J23" s="13" t="inlineStr">
        <is>
          <t>Serial node + gateway; suite set_threshold.json.</t>
        </is>
      </c>
      <c r="K23" s="28" t="n"/>
      <c r="L23" s="28" t="n"/>
      <c r="M23" s="28" t="n"/>
      <c r="N23" s="13" t="inlineStr">
        <is>
          <t>[CẬP NHẬT] Downlink 6 → 7 byte (thêm slot).</t>
        </is>
      </c>
    </row>
    <row r="24" ht="96" customHeight="1">
      <c r="A24" s="32" t="inlineStr">
        <is>
          <t>D</t>
        </is>
      </c>
      <c r="B24" s="32" t="inlineStr">
        <is>
          <t>TC-D02</t>
        </is>
      </c>
      <c r="C24" s="23" t="inlineStr">
        <is>
          <t>set_interval — node IGNORED (chu kỳ ngủ cố định 300 s)</t>
        </is>
      </c>
      <c r="D24" s="32" t="inlineStr">
        <is>
          <t>IT</t>
        </is>
      </c>
      <c r="E24" s="32" t="inlineStr">
        <is>
          <t>Server↔Node (E2E)</t>
        </is>
      </c>
      <c r="F24" s="23" t="inlineStr">
        <is>
          <t>Node 0x01 online; chu kỳ ngủ cố định 300 s (NODE_SLEEP_INTERVAL_S).</t>
        </is>
      </c>
      <c r="G24" s="23" t="inlineStr">
        <is>
          <t>Publish {"cmd":"set_interval","value":600} → downlink 01 05 01 58 02 20 7F.</t>
        </is>
      </c>
      <c r="H24" s="23" t="inlineStr">
        <is>
          <t>Node log 'Cmd: Set interval 600 s IGNORED (fixed at 300 s)' nhưng VẪN ACK 0x03.
Gateway vẫn cập nhật node-&gt;sleep_interval (ảnh hưởng timeout phía gateway) theo giá trị gửi.</t>
        </is>
      </c>
      <c r="I24" s="23" t="inlineStr">
        <is>
          <t>Chu kỳ ngủ thực tế KHÔNG đổi (300 s); node vẫn ACK; không mất lệnh.</t>
        </is>
      </c>
      <c r="J24" s="23" t="inlineStr">
        <is>
          <t>Serial node (log IGNORED) + đo chu kỳ.</t>
        </is>
      </c>
      <c r="K24" s="32" t="n"/>
      <c r="L24" s="32" t="n"/>
      <c r="M24" s="32" t="n"/>
      <c r="N24" s="23" t="inlineStr">
        <is>
          <t>[CẬP NHẬT] BỎ test 'set_interval đổi chu kỳ'. Firmware node cố định 300 s để khớp trục slot 15 phút.</t>
        </is>
      </c>
    </row>
    <row r="25" ht="96" customHeight="1">
      <c r="A25" s="28" t="inlineStr">
        <is>
          <t>D</t>
        </is>
      </c>
      <c r="B25" s="28" t="inlineStr">
        <is>
          <t>TC-D03</t>
        </is>
      </c>
      <c r="C25" s="13" t="inlineStr">
        <is>
          <t>on + duration → timed-run (deadline trên RTC clock)</t>
        </is>
      </c>
      <c r="D25" s="28" t="inlineStr">
        <is>
          <t>IT</t>
        </is>
      </c>
      <c r="E25" s="28" t="inlineStr">
        <is>
          <t>Server↔Node (E2E)</t>
        </is>
      </c>
      <c r="F25" s="13" t="inlineStr">
        <is>
          <t>Node 0x01 online.</t>
        </is>
      </c>
      <c r="G25" s="13" t="inlineStr">
        <is>
          <t>Publish {"cmd":"on","duration":60} → downlink 01 05 02 3C 00 20 1A.</t>
        </is>
      </c>
      <c r="H25" s="13" t="inlineStr">
        <is>
          <t>Node: pump_on() + irrigation_start_timed_run(60); log 'Timed run started: 60 s (deadline on the RTC clock)'; pumpBySchedule=true; interval tạm=60.</t>
        </is>
      </c>
      <c r="I25" s="13" t="inlineStr">
        <is>
          <t>data kế có pump:1; sau 60 s node wake và log 'Timed run complete' + tắt bơm.</t>
        </is>
      </c>
      <c r="J25" s="13" t="inlineStr">
        <is>
          <t>Script nhận data + serial node.</t>
        </is>
      </c>
      <c r="K25" s="28" t="n"/>
      <c r="L25" s="28" t="n"/>
      <c r="M25" s="28" t="n"/>
      <c r="N25" s="13" t="inlineStr">
        <is>
          <t>[CẬP NHẬT] Timed-run dùng esp_clk_rtc_time() → sống qua deep sleep.</t>
        </is>
      </c>
    </row>
    <row r="26" ht="96" customHeight="1">
      <c r="A26" s="28" t="inlineStr">
        <is>
          <t>D</t>
        </is>
      </c>
      <c r="B26" s="28" t="inlineStr">
        <is>
          <t>TC-D04</t>
        </is>
      </c>
      <c r="C26" s="13" t="inlineStr">
        <is>
          <t>off → tắt bơm + HUỶ timed-run</t>
        </is>
      </c>
      <c r="D26" s="28" t="inlineStr">
        <is>
          <t>IT</t>
        </is>
      </c>
      <c r="E26" s="28" t="inlineStr">
        <is>
          <t>Server↔Node (E2E)</t>
        </is>
      </c>
      <c r="F26" s="13" t="inlineStr">
        <is>
          <t>Đang có timed-run (pump ON theo duration).</t>
        </is>
      </c>
      <c r="G26" s="13" t="inlineStr">
        <is>
          <t>Publish {"cmd":"off"} → downlink 01 05 03 00 00 20 27.</t>
        </is>
      </c>
      <c r="H26" s="13" t="inlineStr">
        <is>
          <t>Node: pump_off() + irrigation_cancel_timed_run() → log 'Timed run cancelled' (nếu đang chạy) + 'Sleep interval restored to 300 s'.</t>
        </is>
      </c>
      <c r="I26" s="13" t="inlineStr">
        <is>
          <t>data kế pump:0; interval về 300 s.</t>
        </is>
      </c>
      <c r="J26" s="13" t="inlineStr">
        <is>
          <t>Script nhận data + serial node.</t>
        </is>
      </c>
      <c r="K26" s="28" t="n"/>
      <c r="L26" s="28" t="n"/>
      <c r="M26" s="28" t="n"/>
      <c r="N26" s="13" t="inlineStr">
        <is>
          <t>[CẬP NHẬT] Bổ sung hành vi huỷ timed-run.</t>
        </is>
      </c>
    </row>
    <row r="27" ht="96" customHeight="1">
      <c r="A27" s="29" t="inlineStr">
        <is>
          <t>D</t>
        </is>
      </c>
      <c r="B27" s="29" t="inlineStr">
        <is>
          <t>TC-D05</t>
        </is>
      </c>
      <c r="C27" s="30" t="inlineStr">
        <is>
          <t>report — ép gửi data ngay</t>
        </is>
      </c>
      <c r="D27" s="29" t="inlineStr">
        <is>
          <t>IT</t>
        </is>
      </c>
      <c r="E27" s="29" t="inlineStr">
        <is>
          <t>Server↔Node (E2E)</t>
        </is>
      </c>
      <c r="F27" s="30" t="inlineStr">
        <is>
          <t>Node online.</t>
        </is>
      </c>
      <c r="G27" s="30" t="inlineStr">
        <is>
          <t>Publish {"cmd":"report"} → downlink 0x06.</t>
        </is>
      </c>
      <c r="H27" s="30" t="inlineStr">
        <is>
          <t>Node gửi data 0x01 ngay (không dedup), không mở cửa sổ lồng nhau (commands_send_data_simple).</t>
        </is>
      </c>
      <c r="I27" s="30" t="inlineStr">
        <is>
          <t>Script nhận data mới trong vài giây.</t>
        </is>
      </c>
      <c r="J27" s="30" t="inlineStr">
        <is>
          <t>Script listen MQTT.</t>
        </is>
      </c>
      <c r="K27" s="29" t="n"/>
      <c r="L27" s="29" t="n"/>
      <c r="M27" s="29" t="n"/>
      <c r="N27" s="30" t="inlineStr">
        <is>
          <t>Giữ nguyên.</t>
        </is>
      </c>
    </row>
    <row r="28" ht="96" customHeight="1">
      <c r="A28" s="31" t="inlineStr">
        <is>
          <t>D</t>
        </is>
      </c>
      <c r="B28" s="31" t="inlineStr">
        <is>
          <t>TC-D06</t>
        </is>
      </c>
      <c r="C28" s="27" t="inlineStr">
        <is>
          <t>toggle + idempotent dedup</t>
        </is>
      </c>
      <c r="D28" s="31" t="inlineStr">
        <is>
          <t>IT</t>
        </is>
      </c>
      <c r="E28" s="31" t="inlineStr">
        <is>
          <t>Server↔Node (E2E)</t>
        </is>
      </c>
      <c r="F28" s="27" t="inlineStr">
        <is>
          <t>Node online, biết trạng thái bơm.</t>
        </is>
      </c>
      <c r="G28" s="27" t="inlineStr">
        <is>
          <t>Publish {"cmd":"toggle"} 2 lần giống hệt → downlink 01 05 07 00 00 20 23.</t>
        </is>
      </c>
      <c r="H28" s="27" t="inlineStr">
        <is>
          <t>Lần 1: toggle + ACK + lưu dedup. Lần 2: log 'Duplicate command ... ACKing without re-execution' + ACK.</t>
        </is>
      </c>
      <c r="I28" s="27" t="inlineStr">
        <is>
          <t>Bơm đổi ĐÚNG 1 lần.</t>
        </is>
      </c>
      <c r="J28" s="27" t="inlineStr">
        <is>
          <t>Serial node + script kiểm tra pump.</t>
        </is>
      </c>
      <c r="K28" s="31" t="n"/>
      <c r="L28" s="31" t="n"/>
      <c r="M28" s="31" t="n"/>
      <c r="N28" s="27" t="inlineStr">
        <is>
          <t>Giữ nguyên.</t>
        </is>
      </c>
    </row>
    <row r="29" ht="96" customHeight="1">
      <c r="A29" s="29" t="inlineStr">
        <is>
          <t>D</t>
        </is>
      </c>
      <c r="B29" s="29" t="inlineStr">
        <is>
          <t>TC-D07</t>
        </is>
      </c>
      <c r="C29" s="30" t="inlineStr">
        <is>
          <t>set_mode (0/1/2)</t>
        </is>
      </c>
      <c r="D29" s="29" t="inlineStr">
        <is>
          <t>IT</t>
        </is>
      </c>
      <c r="E29" s="29" t="inlineStr">
        <is>
          <t>Server↔Node (E2E)</t>
        </is>
      </c>
      <c r="F29" s="30" t="inlineStr">
        <is>
          <t>Node online.</t>
        </is>
      </c>
      <c r="G29" s="30" t="inlineStr">
        <is>
          <t>Publish {"cmd":"set_mode","mode":1} → downlink 01 05 08 01 00 20 2D.</t>
        </is>
      </c>
      <c r="H29" s="30" t="inlineStr">
        <is>
          <t>Node log 'Set mode = 1' (clamp ≤ 2) + lưu NVS.</t>
        </is>
      </c>
      <c r="I29" s="30" t="inlineStr">
        <is>
          <t>Mode đổi đúng; giá trị &gt;2 bị chặn.</t>
        </is>
      </c>
      <c r="J29" s="30" t="inlineStr">
        <is>
          <t>Serial node.</t>
        </is>
      </c>
      <c r="K29" s="29" t="n"/>
      <c r="L29" s="29" t="n"/>
      <c r="M29" s="29" t="n"/>
      <c r="N29" s="30" t="inlineStr">
        <is>
          <t>Giữ nguyên. Thêm case mode ngoài [0..2] ở nhóm G.</t>
        </is>
      </c>
    </row>
    <row r="30" ht="96" customHeight="1">
      <c r="A30" s="31" t="inlineStr">
        <is>
          <t>D</t>
        </is>
      </c>
      <c r="B30" s="31" t="inlineStr">
        <is>
          <t>TC-D08</t>
        </is>
      </c>
      <c r="C30" s="27" t="inlineStr">
        <is>
          <t>set_delta (type,value) + local cache</t>
        </is>
      </c>
      <c r="D30" s="31" t="inlineStr">
        <is>
          <t>IT</t>
        </is>
      </c>
      <c r="E30" s="31" t="inlineStr">
        <is>
          <t>Server↔Node (E2E)</t>
        </is>
      </c>
      <c r="F30" s="27" t="inlineStr">
        <is>
          <t>Node online.</t>
        </is>
      </c>
      <c r="G30" s="27" t="inlineStr">
        <is>
          <t>Publish {"cmd":"set_delta","type":2,"value":5} → downlink 01 05 0A 02 05 20 29.</t>
        </is>
      </c>
      <c r="H30" s="27" t="inlineStr">
        <is>
          <t>Gateway node_set_delta_threshold(node,2,5) ngay; node config_set_delta_soil(5) + NVS.</t>
        </is>
      </c>
      <c r="I30" s="27" t="inlineStr">
        <is>
          <t>Log cả 2 phía; giá trị delta type 2 = 5.</t>
        </is>
      </c>
      <c r="J30" s="27" t="inlineStr">
        <is>
          <t>Serial node + gateway.</t>
        </is>
      </c>
      <c r="K30" s="31" t="n"/>
      <c r="L30" s="31" t="n"/>
      <c r="M30" s="31" t="n"/>
      <c r="N30" s="27" t="inlineStr">
        <is>
          <t>Giữ nguyên. Delta types: 0 temp(°C×10), 1 hum(%), 2 soil(%), 3 battery(%).</t>
        </is>
      </c>
    </row>
    <row r="31" ht="96" customHeight="1">
      <c r="A31" s="28" t="inlineStr">
        <is>
          <t>D</t>
        </is>
      </c>
      <c r="B31" s="28" t="inlineStr">
        <is>
          <t>TC-D09</t>
        </is>
      </c>
      <c r="C31" s="13" t="inlineStr">
        <is>
          <t>Cache-first — lệnh chỉ gửi khi node thực sự thức (uplink)</t>
        </is>
      </c>
      <c r="D31" s="28" t="inlineStr">
        <is>
          <t>IT</t>
        </is>
      </c>
      <c r="E31" s="28" t="inlineStr">
        <is>
          <t>Server↔Node (E2E)</t>
        </is>
      </c>
      <c r="F31" s="13" t="inlineStr">
        <is>
          <t>Node đang ngủ (không uplink).</t>
        </is>
      </c>
      <c r="G31" s="13" t="inlineStr">
        <is>
          <t>Publish {"cmd":"off"} cho node 0x01.</t>
        </is>
      </c>
      <c r="H31" s="13" t="inlineStr">
        <is>
          <t>① Gateway log 'Command 0x03 cached for node 0x01 (sent on next uplink)'; commands_cached tăng; KHÔNG có TX LoRa.
② Node thức gửi data/heartbeat → ack_or_flush_node() flush trong cửa sổ 800 ms.
③ Node thực thi + ACK 0x03 → commands_cached giảm.</t>
        </is>
      </c>
      <c r="I31" s="13" t="inlineStr">
        <is>
          <t>(1) không gửi khi node ngủ; (2) node nhận + ACK ở uplink kế; (3) cache giải phóng.</t>
        </is>
      </c>
      <c r="J31" s="13" t="inlineStr">
        <is>
          <t>Script đọc commands_cached + serial cả 2 phía.</t>
        </is>
      </c>
      <c r="K31" s="28" t="n"/>
      <c r="L31" s="28" t="n"/>
      <c r="M31" s="28" t="n"/>
      <c r="N31" s="13" t="inlineStr">
        <is>
          <t>[CẬP NHẬT] Trước đây mô tả 'cache khi offline'; nay MỌI lệnh đều cache-first.</t>
        </is>
      </c>
    </row>
    <row r="32" ht="96" customHeight="1">
      <c r="A32" s="32" t="inlineStr">
        <is>
          <t>D</t>
        </is>
      </c>
      <c r="B32" s="32" t="inlineStr">
        <is>
          <t>TC-D10</t>
        </is>
      </c>
      <c r="C32" s="23" t="inlineStr">
        <is>
          <t>ACK timeout 3 s → re-flush ở uplink kế; max 5 lần rồi drop</t>
        </is>
      </c>
      <c r="D32" s="32" t="inlineStr">
        <is>
          <t>IT</t>
        </is>
      </c>
      <c r="E32" s="32" t="inlineStr">
        <is>
          <t>Server↔Node (E2E)</t>
        </is>
      </c>
      <c r="F32" s="23" t="inlineStr">
        <is>
          <t>Lệnh đã flush nhưng ACK bị mất (ngắt radio tạm thời/quá xa).</t>
        </is>
      </c>
      <c r="G32" s="23" t="inlineStr">
        <is>
          <t>Không có ACK trong ACK_TIMEOUT_MS = 3000 ms.</t>
        </is>
      </c>
      <c r="H32" s="23" t="inlineStr">
        <is>
          <t>① command_cache_process_timeouts() → retry_count++ , cờ waiting_ack tắt.
② Uplink kế tiếp → gửi lại lệnh (re-flush).
③ retry_count đạt MAX_RETRY=5 → drop (pending=false), không gửi nữa.</t>
        </is>
      </c>
      <c r="I32" s="23" t="inlineStr">
        <is>
          <t>Log 'ACK timeout ... retrying' và sau 5 lần 'exceeded max retries ... dropping'.</t>
        </is>
      </c>
      <c r="J32" s="23" t="inlineStr">
        <is>
          <t>Serial gateway.</t>
        </is>
      </c>
      <c r="K32" s="32" t="n"/>
      <c r="L32" s="32" t="n"/>
      <c r="M32" s="32" t="n"/>
      <c r="N32" s="23" t="inlineStr">
        <is>
          <t>[CẬP NHẬT] BỎ chuỗi backoff chủ động 1/2/4/8/16 s — retry theo nhịp node thức.</t>
        </is>
      </c>
    </row>
    <row r="33" ht="96" customHeight="1">
      <c r="A33" s="28" t="inlineStr">
        <is>
          <t>D</t>
        </is>
      </c>
      <c r="B33" s="28" t="inlineStr">
        <is>
          <t>TC-D11</t>
        </is>
      </c>
      <c r="C33" s="13" t="inlineStr">
        <is>
          <t>set_schedule (hour/minute)</t>
        </is>
      </c>
      <c r="D33" s="28" t="inlineStr">
        <is>
          <t>IT</t>
        </is>
      </c>
      <c r="E33" s="28" t="inlineStr">
        <is>
          <t>Server↔Node (E2E)</t>
        </is>
      </c>
      <c r="F33" s="13" t="inlineStr">
        <is>
          <t>Node online, đã sync slot.</t>
        </is>
      </c>
      <c r="G33" s="13" t="inlineStr">
        <is>
          <t>Publish {"cmd":"set_schedule","hour":6,"minute":0} → downlink 01 05 05 06 00 20 27.</t>
        </is>
      </c>
      <c r="H33" s="13" t="inlineStr">
        <is>
          <t>Node lưu schedule; đổi thành target_t = (6*60+0)/15 = 24; log khi set.</t>
        </is>
      </c>
      <c r="I33" s="13" t="inlineStr">
        <is>
          <t>Node lưu đúng hour/minute; schedule chạy theo slot (xem TC-E03).</t>
        </is>
      </c>
      <c r="J33" s="13" t="inlineStr">
        <is>
          <t>Serial node.</t>
        </is>
      </c>
      <c r="K33" s="28" t="n"/>
      <c r="L33" s="28" t="n"/>
      <c r="M33" s="28" t="n"/>
      <c r="N33" s="13" t="inlineStr">
        <is>
          <t>[MỚI] Trước đây set_schedule không có test case riêng.</t>
        </is>
      </c>
    </row>
    <row r="34" ht="96" customHeight="1">
      <c r="A34" s="31" t="inlineStr">
        <is>
          <t>E</t>
        </is>
      </c>
      <c r="B34" s="31" t="inlineStr">
        <is>
          <t>TC-E01</t>
        </is>
      </c>
      <c r="C34" s="27" t="inlineStr">
        <is>
          <t>Threshold mode (2) — pump ON khi soil &lt; low</t>
        </is>
      </c>
      <c r="D34" s="31" t="inlineStr">
        <is>
          <t>IT</t>
        </is>
      </c>
      <c r="E34" s="31" t="inlineStr">
        <is>
          <t>Node behavior</t>
        </is>
      </c>
      <c r="F34" s="27" t="inlineStr">
        <is>
          <t>Mode 2; low=30.</t>
        </is>
      </c>
      <c r="G34" s="27" t="inlineStr">
        <is>
          <t>Đọc soil = 25.</t>
        </is>
      </c>
      <c r="H34" s="27" t="inlineStr">
        <is>
          <t>MODE_THRESHOLD → pump_on(); log 'Moisture below threshold low. Turning pump ON.'.</t>
        </is>
      </c>
      <c r="I34" s="27" t="inlineStr">
        <is>
          <t>data kế pump:1.</t>
        </is>
      </c>
      <c r="J34" s="27" t="inlineStr">
        <is>
          <t>Serial node + script.</t>
        </is>
      </c>
      <c r="K34" s="31" t="n"/>
      <c r="L34" s="31" t="n"/>
      <c r="M34" s="31" t="n"/>
      <c r="N34" s="27" t="inlineStr">
        <is>
          <t>Giữ nguyên.</t>
        </is>
      </c>
    </row>
    <row r="35" ht="96" customHeight="1">
      <c r="A35" s="29" t="inlineStr">
        <is>
          <t>E</t>
        </is>
      </c>
      <c r="B35" s="29" t="inlineStr">
        <is>
          <t>TC-E02</t>
        </is>
      </c>
      <c r="C35" s="30" t="inlineStr">
        <is>
          <t>Threshold mode — pump OFF khi soil &gt; high</t>
        </is>
      </c>
      <c r="D35" s="29" t="inlineStr">
        <is>
          <t>IT</t>
        </is>
      </c>
      <c r="E35" s="29" t="inlineStr">
        <is>
          <t>Node behavior</t>
        </is>
      </c>
      <c r="F35" s="30" t="inlineStr">
        <is>
          <t>Mode 2; đang tưới (irrigation_active); high=70.</t>
        </is>
      </c>
      <c r="G35" s="30" t="inlineStr">
        <is>
          <t>Đọc soil = 75.</t>
        </is>
      </c>
      <c r="H35" s="30" t="inlineStr">
        <is>
          <t>pump_off(); log tương ứng.</t>
        </is>
      </c>
      <c r="I35" s="30" t="inlineStr">
        <is>
          <t>data kế pump:0.</t>
        </is>
      </c>
      <c r="J35" s="30" t="inlineStr">
        <is>
          <t>Serial node + script.</t>
        </is>
      </c>
      <c r="K35" s="29" t="n"/>
      <c r="L35" s="29" t="n"/>
      <c r="M35" s="29" t="n"/>
      <c r="N35" s="30" t="inlineStr">
        <is>
          <t>Giữ nguyên.</t>
        </is>
      </c>
    </row>
    <row r="36" ht="96" customHeight="1">
      <c r="A36" s="32" t="inlineStr">
        <is>
          <t>E</t>
        </is>
      </c>
      <c r="B36" s="32" t="inlineStr">
        <is>
          <t>TC-E03</t>
        </is>
      </c>
      <c r="C36" s="23" t="inlineStr">
        <is>
          <t>Schedule mode (1) — theo SLOT, 1 lần/ngày, catch-up 1 slot</t>
        </is>
      </c>
      <c r="D36" s="32" t="inlineStr">
        <is>
          <t>IT</t>
        </is>
      </c>
      <c r="E36" s="32" t="inlineStr">
        <is>
          <t>Node behavior</t>
        </is>
      </c>
      <c r="F36" s="23" t="inlineStr">
        <is>
          <t>Mode=1; schedule 06:00 → target_t=24; duration=60; interval 300 s; slot đã sync.</t>
        </is>
      </c>
      <c r="G36" s="23" t="inlineStr">
        <is>
          <t>Chờ tới khi t chạm 24 (hoặc trễ nhất 1 slot, SCHEDULE_CATCHUP_SLOTS=1).</t>
        </is>
      </c>
      <c r="H36" s="23" t="inlineStr">
        <is>
          <t>Log 'Schedule window hit: t=24 (target t=24 = 06:00)'; pump_on; timed-run 60 s; đánh dấu đã chạy trong ngày (slotDay) → không chạy lại.</t>
        </is>
      </c>
      <c r="I36" s="23" t="inlineStr">
        <is>
          <t>Bơm bật đúng slot mục tiêu; chỉ 1 lần/ngày kể cả sau reset; slot không sync → log 'Slot t not synced yet - schedule check skipped'.</t>
        </is>
      </c>
      <c r="J36" s="23" t="inlineStr">
        <is>
          <t>Serial node.</t>
        </is>
      </c>
      <c r="K36" s="32" t="n"/>
      <c r="L36" s="32" t="n"/>
      <c r="M36" s="32" t="n"/>
      <c r="N36" s="23" t="inlineStr">
        <is>
          <t>[CẬP NHẬT] BỎ schedule dùng epoch/time(). Nay thuần slot 96×15 phút.</t>
        </is>
      </c>
    </row>
    <row r="37" ht="96" customHeight="1">
      <c r="A37" s="28" t="inlineStr">
        <is>
          <t>E</t>
        </is>
      </c>
      <c r="B37" s="28" t="inlineStr">
        <is>
          <t>TC-E04</t>
        </is>
      </c>
      <c r="C37" s="13" t="inlineStr">
        <is>
          <t>Timed-run — wake sớm giữ bơm ON và ngủ tiếp phần còn lại</t>
        </is>
      </c>
      <c r="D37" s="28" t="inlineStr">
        <is>
          <t>System</t>
        </is>
      </c>
      <c r="E37" s="28" t="inlineStr">
        <is>
          <t>Node</t>
        </is>
      </c>
      <c r="F37" s="13" t="inlineStr">
        <is>
          <t>Timed-run 60 s đang chạy; nút GPIO34 được nhấn giữa chừng (BUTTON_OVERRIDES_TIMED_RUN=0).</t>
        </is>
      </c>
      <c r="G37" s="13" t="inlineStr">
        <is>
          <t>Nhấn nút ở giây thứ 10.</t>
        </is>
      </c>
      <c r="H37" s="13" t="inlineStr">
        <is>
          <t>Node log 'Timed run still active (50 s left) - pump stays ON'; bơm KHÔNG tắt; node re-sleep với interval = phần còn lại.
Nếu BUTTON_OVERRIDES_TIMED_RUN=1 → nút được phép toggle + huỷ run.</t>
        </is>
      </c>
      <c r="I37" s="13" t="inlineStr">
        <is>
          <t>Bơm vẫn ON qua wake sớm; run kết thúc đúng hạn.</t>
        </is>
      </c>
      <c r="J37" s="13" t="inlineStr">
        <is>
          <t>Serial node + đo thời điểm tắt bơm.</t>
        </is>
      </c>
      <c r="K37" s="28" t="n"/>
      <c r="L37" s="28" t="n"/>
      <c r="M37" s="28" t="n"/>
      <c r="N37" s="13" t="inlineStr">
        <is>
          <t>[MỚI]</t>
        </is>
      </c>
    </row>
    <row r="38" ht="96" customHeight="1">
      <c r="A38" s="28" t="inlineStr">
        <is>
          <t>E</t>
        </is>
      </c>
      <c r="B38" s="28" t="inlineStr">
        <is>
          <t>TC-E05</t>
        </is>
      </c>
      <c r="C38" s="13" t="inlineStr">
        <is>
          <t>Mode guard — gateway-lost chỉ fallback từ THRESHOLD</t>
        </is>
      </c>
      <c r="D38" s="28" t="inlineStr">
        <is>
          <t>System</t>
        </is>
      </c>
      <c r="E38" s="28" t="inlineStr">
        <is>
          <t>Node behavior</t>
        </is>
      </c>
      <c r="F38" s="13" t="inlineStr">
        <is>
          <t>Node mất gateway (&gt;=3 heartbeat không downlink).</t>
        </is>
      </c>
      <c r="G38" s="13" t="inlineStr">
        <is>
          <t>Tắt gateway vài chu kỳ; lần lượt đặt mode 0, 2.</t>
        </is>
      </c>
      <c r="H38" s="13" t="inlineStr">
        <is>
          <t>Mode 0 (MANUAL): log 'Gateway lost in mode 0 - no automatic fallback (only THRESHOLD falls back to SCHEDULE)'; mode giữ 0.
Mode 2 (THRESHOLD): log 'Gateway lost in THRESHOLD mode - falling back to SCHEDULE mode'; mode = 1.</t>
        </is>
      </c>
      <c r="I38" s="13" t="inlineStr">
        <is>
          <t>Chỉ THRESHOLD mới tự chuyển sang SCHEDULE; MANUAL/SCHEDULE chỉ warn.</t>
        </is>
      </c>
      <c r="J38" s="13" t="inlineStr">
        <is>
          <t>Serial node + script nhận alarm 0x05.</t>
        </is>
      </c>
      <c r="K38" s="28" t="n"/>
      <c r="L38" s="28" t="n"/>
      <c r="M38" s="28" t="n"/>
      <c r="N38" s="13" t="inlineStr">
        <is>
          <t>[CẬP NHẬT] Trước đây fallback vô điều kiện. Không tự khôi phục mode khi gateway trở lại (server phải gửi set_mode).</t>
        </is>
      </c>
    </row>
    <row r="39" ht="96" customHeight="1">
      <c r="A39" s="29" t="inlineStr">
        <is>
          <t>E</t>
        </is>
      </c>
      <c r="B39" s="29" t="inlineStr">
        <is>
          <t>TC-E06</t>
        </is>
      </c>
      <c r="C39" s="30" t="inlineStr">
        <is>
          <t>Gateway lost → alarm 0x05 + FLAG_GATEWAY_LOST + hồi phục</t>
        </is>
      </c>
      <c r="D39" s="29" t="inlineStr">
        <is>
          <t>System</t>
        </is>
      </c>
      <c r="E39" s="29" t="inlineStr">
        <is>
          <t>Node behavior</t>
        </is>
      </c>
      <c r="F39" s="30" t="inlineStr">
        <is>
          <t>Gateway không ACK (heartbeat không downlink).</t>
        </is>
      </c>
      <c r="G39" s="30" t="inlineStr">
        <is>
          <t>Sau &gt;=3 heartbeat không downlink (GATEWAY_LOST_TIMEOUT_S=600).</t>
        </is>
      </c>
      <c r="H39" s="30" t="inlineStr">
        <is>
          <t>gatewayLostCount &gt;= GW_LOST_ALARM_THRESHOLD=3 → alarm 0x05 + flag bit2 trong uplink + fallback (nếu THRESHOLD).</t>
        </is>
      </c>
      <c r="I39" s="30" t="inlineStr">
        <is>
          <t>Alarm JSON code=5; khi gateway trả downlink → gatewayLostCount=0, flag tắt, alarm 0x05 cleared.</t>
        </is>
      </c>
      <c r="J39" s="30" t="inlineStr">
        <is>
          <t>Serial node + script nhận alarm.</t>
        </is>
      </c>
      <c r="K39" s="29" t="n"/>
      <c r="L39" s="29" t="n"/>
      <c r="M39" s="29" t="n"/>
      <c r="N39" s="30" t="inlineStr">
        <is>
          <t>Giữ nguyên, tách khỏi TC-E05 (mode guard).</t>
        </is>
      </c>
    </row>
    <row r="40" ht="96" customHeight="1">
      <c r="A40" s="31" t="inlineStr">
        <is>
          <t>E</t>
        </is>
      </c>
      <c r="B40" s="31" t="inlineStr">
        <is>
          <t>TC-E07</t>
        </is>
      </c>
      <c r="C40" s="27" t="inlineStr">
        <is>
          <t>Delta reporting compact</t>
        </is>
      </c>
      <c r="D40" s="31" t="inlineStr">
        <is>
          <t>IT</t>
        </is>
      </c>
      <c r="E40" s="31" t="inlineStr">
        <is>
          <t>Node behavior</t>
        </is>
      </c>
      <c r="F40" s="27" t="inlineStr">
        <is>
          <t>Node có baseline committed.</t>
        </is>
      </c>
      <c r="G40" s="27" t="inlineStr">
        <is>
          <t>Soil 50→55 (vượt delta soil).</t>
        </is>
      </c>
      <c r="H40" s="27" t="inlineStr">
        <is>
          <t>Gửi compact 0x06 chỉ chứa field đổi (presence bit tương ứng).</t>
        </is>
      </c>
      <c r="I40" s="27" t="inlineStr">
        <is>
          <t>1 data thay đổi khi delta vượt; không gửi khi giá trị đứng yên.</t>
        </is>
      </c>
      <c r="J40" s="27" t="inlineStr">
        <is>
          <t>Script nhận compact.</t>
        </is>
      </c>
      <c r="K40" s="31" t="n"/>
      <c r="L40" s="31" t="n"/>
      <c r="M40" s="31" t="n"/>
      <c r="N40" s="27" t="inlineStr">
        <is>
          <t>Giữ nguyên (kết hợp baseline gating ở nhóm J).</t>
        </is>
      </c>
    </row>
    <row r="41" ht="96" customHeight="1">
      <c r="A41" s="28" t="inlineStr">
        <is>
          <t>E</t>
        </is>
      </c>
      <c r="B41" s="28" t="inlineStr">
        <is>
          <t>TC-E08</t>
        </is>
      </c>
      <c r="C41" s="13" t="inlineStr">
        <is>
          <t>Alarm sensor error (3 lần đọc fail) + boot recovery</t>
        </is>
      </c>
      <c r="D41" s="28" t="inlineStr">
        <is>
          <t>IT</t>
        </is>
      </c>
      <c r="E41" s="28" t="inlineStr">
        <is>
          <t>Node behavior</t>
        </is>
      </c>
      <c r="F41" s="13" t="inlineStr">
        <is>
          <t>-</t>
        </is>
      </c>
      <c r="G41" s="13" t="inlineStr">
        <is>
          <t>3 lần DHT/soil đọc lỗi liên tiếp; sau đó power-cycle khi cảm biến đã hồi phục.</t>
        </is>
      </c>
      <c r="H41" s="13" t="inlineStr">
        <is>
          <t>① ALARM_SENSOR_ERROR → alarm packet 0x04 code=1; data không có bit sensor_ok.
② Sau cold boot, handle_boot_alarm_recovery(): nếu điều kiện đã hết → gửi alarm 0x00 'alarm cleared'.</t>
        </is>
      </c>
      <c r="I41" s="13" t="inlineStr">
        <is>
          <t>Alarm JSON code=1; sau hồi phục có packet alarm 0x00 (cleared).</t>
        </is>
      </c>
      <c r="J41" s="13" t="inlineStr">
        <is>
          <t>Serial node + script.</t>
        </is>
      </c>
      <c r="K41" s="28" t="n"/>
      <c r="L41" s="28" t="n"/>
      <c r="M41" s="28" t="n"/>
      <c r="N41" s="13" t="inlineStr">
        <is>
          <t>[CẬP NHẬT] Bổ sung luồng boot-recovery.</t>
        </is>
      </c>
    </row>
    <row r="42" ht="96" customHeight="1">
      <c r="A42" s="28" t="inlineStr">
        <is>
          <t>E</t>
        </is>
      </c>
      <c r="B42" s="28" t="inlineStr">
        <is>
          <t>TC-E09</t>
        </is>
      </c>
      <c r="C42" s="13" t="inlineStr">
        <is>
          <t>Alarm low battery (&lt;20%) — bỏ qua khi 0xFF</t>
        </is>
      </c>
      <c r="D42" s="28" t="inlineStr">
        <is>
          <t>IT</t>
        </is>
      </c>
      <c r="E42" s="28" t="inlineStr">
        <is>
          <t>Node behavior</t>
        </is>
      </c>
      <c r="F42" s="13" t="inlineStr">
        <is>
          <t>-</t>
        </is>
      </c>
      <c r="G42" s="13" t="inlineStr">
        <is>
          <t>Đọc battery = 15%; sau đó battery = 0xFF.</t>
        </is>
      </c>
      <c r="H42" s="13" t="inlineStr">
        <is>
          <t>Battery 15% → ALARM_LOW_BATTERY (code=4, LED 4 nháy).
Battery 0xFF → KHÔNG alarm (nguồn ngoài).</t>
        </is>
      </c>
      <c r="I42" s="13" t="inlineStr">
        <is>
          <t>Alarm code=4 chỉ khi battery &lt; 20% và != 0xFF.</t>
        </is>
      </c>
      <c r="J42" s="13" t="inlineStr">
        <is>
          <t>Serial node + script.</t>
        </is>
      </c>
      <c r="K42" s="28" t="n"/>
      <c r="L42" s="28" t="n"/>
      <c r="M42" s="28" t="n"/>
      <c r="N42" s="13" t="inlineStr">
        <is>
          <t>[MỚI]</t>
        </is>
      </c>
    </row>
    <row r="43" ht="96" customHeight="1">
      <c r="A43" s="28" t="inlineStr">
        <is>
          <t>E</t>
        </is>
      </c>
      <c r="B43" s="28" t="inlineStr">
        <is>
          <t>TC-E10</t>
        </is>
      </c>
      <c r="C43" s="13" t="inlineStr">
        <is>
          <t>Alarm relay error (pulse/GPIO fault)</t>
        </is>
      </c>
      <c r="D43" s="28" t="inlineStr">
        <is>
          <t>IT</t>
        </is>
      </c>
      <c r="E43" s="28" t="inlineStr">
        <is>
          <t>Node behavior</t>
        </is>
      </c>
      <c r="F43" s="13" t="inlineStr">
        <is>
          <t>-</t>
        </is>
      </c>
      <c r="G43" s="13" t="inlineStr">
        <is>
          <t>Mô phỏng toggle bơm thất bại (GPIO23 không đổi trạng thái xác nhận).</t>
        </is>
      </c>
      <c r="H43" s="13" t="inlineStr">
        <is>
          <t>ALARM_RELAY_ERROR (code=3, LED 3 nháy) → alarm packet 0x04 code=3.</t>
        </is>
      </c>
      <c r="I43" s="13" t="inlineStr">
        <is>
          <t>Alarm JSON code=3.</t>
        </is>
      </c>
      <c r="J43" s="13" t="inlineStr">
        <is>
          <t>Serial node + script.</t>
        </is>
      </c>
      <c r="K43" s="28" t="n"/>
      <c r="L43" s="28" t="n"/>
      <c r="M43" s="28" t="n"/>
      <c r="N43" s="13" t="inlineStr">
        <is>
          <t>[MỚI]</t>
        </is>
      </c>
    </row>
    <row r="44" ht="96" customHeight="1">
      <c r="A44" s="28" t="inlineStr">
        <is>
          <t>E</t>
        </is>
      </c>
      <c r="B44" s="28" t="inlineStr">
        <is>
          <t>TC-E11</t>
        </is>
      </c>
      <c r="C44" s="13" t="inlineStr">
        <is>
          <t>Midnight parking — không ngủ vượt mốc wrap 95→0</t>
        </is>
      </c>
      <c r="D44" s="28" t="inlineStr">
        <is>
          <t>System</t>
        </is>
      </c>
      <c r="E44" s="28" t="inlineStr">
        <is>
          <t>Node</t>
        </is>
      </c>
      <c r="F44" s="13" t="inlineStr">
        <is>
          <t>Slot gần cuối ngày (t gần 95); interval 300 s.</t>
        </is>
      </c>
      <c r="G44" s="13" t="inlineStr">
        <is>
          <t>Để node chạy qua thời điểm wrap.</t>
        </is>
      </c>
      <c r="H44" s="13" t="inlineStr">
        <is>
          <t>Node rút ngắn giấc ngủ (park_at = interval + PARK_MARGIN) để thức trước biên và nghe broadcast t=0; log 'Near t=0 ... listening for broadcast sync'.</t>
        </is>
      </c>
      <c r="I44" s="13" t="inlineStr">
        <is>
          <t>Node nhận slot=0 trong cửa sổ broadcast; không bị lệch ngày.</t>
        </is>
      </c>
      <c r="J44" s="13" t="inlineStr">
        <is>
          <t>Serial node + gateway.</t>
        </is>
      </c>
      <c r="K44" s="28" t="n"/>
      <c r="L44" s="28" t="n"/>
      <c r="M44" s="28" t="n"/>
      <c r="N44" s="13" t="inlineStr">
        <is>
          <t>[MỚI]</t>
        </is>
      </c>
    </row>
    <row r="45" ht="96" customHeight="1">
      <c r="A45" s="28" t="inlineStr">
        <is>
          <t>F</t>
        </is>
      </c>
      <c r="B45" s="28" t="inlineStr">
        <is>
          <t>TC-F01</t>
        </is>
      </c>
      <c r="C45" s="13" t="inlineStr">
        <is>
          <t>Round-trip toggle (Server→Node→Server)</t>
        </is>
      </c>
      <c r="D45" s="28" t="inlineStr">
        <is>
          <t>System</t>
        </is>
      </c>
      <c r="E45" s="28" t="inlineStr">
        <is>
          <t>E2E</t>
        </is>
      </c>
      <c r="F45" s="13" t="inlineStr">
        <is>
          <t>Node online.</t>
        </is>
      </c>
      <c r="G45" s="13" t="inlineStr">
        <is>
          <t>Publish {"cmd":"toggle"}.</t>
        </is>
      </c>
      <c r="H45" s="13" t="inlineStr">
        <is>
          <t>Server thấy data mới có pump đổi.</t>
        </is>
      </c>
      <c r="I45" s="13" t="inlineStr">
        <is>
          <t>Full chain trong &lt; 5 s (lệnh cache-first nên tính từ lúc node uplink kế).</t>
        </is>
      </c>
      <c r="J45" s="13" t="inlineStr">
        <is>
          <t>Script đo thời gian round-trip.</t>
        </is>
      </c>
      <c r="K45" s="28" t="n"/>
      <c r="L45" s="28" t="n"/>
      <c r="M45" s="28" t="n"/>
      <c r="N45" s="13" t="inlineStr">
        <is>
          <t>[CẬP NHẬT] Lưu ý độ trễ = tới chu kỳ thức kế tiếp nếu node đang ngủ.</t>
        </is>
      </c>
    </row>
    <row r="46" ht="96" customHeight="1">
      <c r="A46" s="31" t="inlineStr">
        <is>
          <t>F</t>
        </is>
      </c>
      <c r="B46" s="31" t="inlineStr">
        <is>
          <t>TC-F02</t>
        </is>
      </c>
      <c r="C46" s="27" t="inlineStr">
        <is>
          <t>Threshold E2E: set_threshold → exceed → data + alarm</t>
        </is>
      </c>
      <c r="D46" s="31" t="inlineStr">
        <is>
          <t>System</t>
        </is>
      </c>
      <c r="E46" s="31" t="inlineStr">
        <is>
          <t>E2E</t>
        </is>
      </c>
      <c r="F46" s="27" t="inlineStr">
        <is>
          <t>Node online.</t>
        </is>
      </c>
      <c r="G46" s="27" t="inlineStr">
        <is>
          <t>set_threshold(70,90); ép soil=95.</t>
        </is>
      </c>
      <c r="H46" s="27" t="inlineStr">
        <is>
          <t>Node threshold → data JSON threshold_exceeded:true + alarm 'Sensor alarm triggered' (70/90).</t>
        </is>
      </c>
      <c r="I46" s="27" t="inlineStr">
        <is>
          <t>Nhận đủ 2 message (data + alarm).</t>
        </is>
      </c>
      <c r="J46" s="27" t="inlineStr">
        <is>
          <t>Script threshold_alarm.json.</t>
        </is>
      </c>
      <c r="K46" s="31" t="n"/>
      <c r="L46" s="31" t="n"/>
      <c r="M46" s="31" t="n"/>
      <c r="N46" s="27" t="inlineStr">
        <is>
          <t>Giữ nguyên.</t>
        </is>
      </c>
    </row>
    <row r="47" ht="96" customHeight="1">
      <c r="A47" s="29" t="inlineStr">
        <is>
          <t>F</t>
        </is>
      </c>
      <c r="B47" s="29" t="inlineStr">
        <is>
          <t>TC-F03</t>
        </is>
      </c>
      <c r="C47" s="30" t="inlineStr">
        <is>
          <t>Alarm propagation (node→server)</t>
        </is>
      </c>
      <c r="D47" s="29" t="inlineStr">
        <is>
          <t>System</t>
        </is>
      </c>
      <c r="E47" s="29" t="inlineStr">
        <is>
          <t>E2E</t>
        </is>
      </c>
      <c r="F47" s="30" t="inlineStr">
        <is>
          <t>-</t>
        </is>
      </c>
      <c r="G47" s="30" t="inlineStr">
        <is>
          <t>Kích hoạt soil out-range (soil&lt;10).</t>
        </is>
      </c>
      <c r="H47" s="30" t="inlineStr">
        <is>
          <t>Node alarm 0x02 → gateway → server alarm JSON.</t>
        </is>
      </c>
      <c r="I47" s="30" t="inlineStr">
        <is>
          <t>Message đúng schema.</t>
        </is>
      </c>
      <c r="J47" s="30" t="inlineStr">
        <is>
          <t>Script nhận alarm.</t>
        </is>
      </c>
      <c r="K47" s="29" t="n"/>
      <c r="L47" s="29" t="n"/>
      <c r="M47" s="29" t="n"/>
      <c r="N47" s="30" t="inlineStr">
        <is>
          <t>Giữ nguyên.</t>
        </is>
      </c>
    </row>
    <row r="48" ht="96" customHeight="1">
      <c r="A48" s="31" t="inlineStr">
        <is>
          <t>F</t>
        </is>
      </c>
      <c r="B48" s="31" t="inlineStr">
        <is>
          <t>TC-F04</t>
        </is>
      </c>
      <c r="C48" s="27" t="inlineStr">
        <is>
          <t>Node mất điện khi có lệnh cache — flush sau khi online</t>
        </is>
      </c>
      <c r="D48" s="31" t="inlineStr">
        <is>
          <t>System</t>
        </is>
      </c>
      <c r="E48" s="31" t="inlineStr">
        <is>
          <t>E2E</t>
        </is>
      </c>
      <c r="F48" s="27" t="inlineStr">
        <is>
          <t>Node offline; cache 2 lệnh (off + toggle).</t>
        </is>
      </c>
      <c r="G48" s="27" t="inlineStr">
        <is>
          <t>Bật node lại.</t>
        </is>
      </c>
      <c r="H48" s="27" t="inlineStr">
        <is>
          <t>Gateway flush lần lượt khi node gửi uplink; node ACK từng lệnh; toggle trùng → dedup.</t>
        </is>
      </c>
      <c r="I48" s="27" t="inlineStr">
        <is>
          <t>2 lệnh nhận + ACK; bơm chỉ đổi theo số lệnh toggle thực.</t>
        </is>
      </c>
      <c r="J48" s="27" t="inlineStr">
        <is>
          <t>Serial node + gateway + script.</t>
        </is>
      </c>
      <c r="K48" s="31" t="n"/>
      <c r="L48" s="31" t="n"/>
      <c r="M48" s="31" t="n"/>
      <c r="N48" s="27" t="inlineStr">
        <is>
          <t>Giữ nguyên.</t>
        </is>
      </c>
    </row>
    <row r="49" ht="96" customHeight="1">
      <c r="A49" s="29" t="inlineStr">
        <is>
          <t>F</t>
        </is>
      </c>
      <c r="B49" s="29" t="inlineStr">
        <is>
          <t>TC-F05</t>
        </is>
      </c>
      <c r="C49" s="30" t="inlineStr">
        <is>
          <t>Gateway restart → cache RAM mất</t>
        </is>
      </c>
      <c r="D49" s="29" t="inlineStr">
        <is>
          <t>System</t>
        </is>
      </c>
      <c r="E49" s="29" t="inlineStr">
        <is>
          <t>E2E</t>
        </is>
      </c>
      <c r="F49" s="30" t="inlineStr">
        <is>
          <t>Gateway đang có lệnh trong cache.</t>
        </is>
      </c>
      <c r="G49" s="30" t="inlineStr">
        <is>
          <t>Reboot gateway.</t>
        </is>
      </c>
      <c r="H49" s="30" t="inlineStr">
        <is>
          <t>Cache RAM-only → sau reboot commands_cached = 0; server phải gửi lại.</t>
        </is>
      </c>
      <c r="I49" s="30" t="inlineStr">
        <is>
          <t>commands_cached=0 sau reboot.</t>
        </is>
      </c>
      <c r="J49" s="30" t="inlineStr">
        <is>
          <t>Script đọc status sau reboot.</t>
        </is>
      </c>
      <c r="K49" s="29" t="n"/>
      <c r="L49" s="29" t="n"/>
      <c r="M49" s="29" t="n"/>
      <c r="N49" s="30" t="inlineStr">
        <is>
          <t>Giữ nguyên.</t>
        </is>
      </c>
    </row>
    <row r="50" ht="96" customHeight="1">
      <c r="A50" s="31" t="inlineStr">
        <is>
          <t>F</t>
        </is>
      </c>
      <c r="B50" s="31" t="inlineStr">
        <is>
          <t>TC-F06</t>
        </is>
      </c>
      <c r="C50" s="27" t="inlineStr">
        <is>
          <t>Broker outage + auto-reconnect</t>
        </is>
      </c>
      <c r="D50" s="31" t="inlineStr">
        <is>
          <t>System</t>
        </is>
      </c>
      <c r="E50" s="31" t="inlineStr">
        <is>
          <t>E2E</t>
        </is>
      </c>
      <c r="F50" s="27" t="inlineStr">
        <is>
          <t>-</t>
        </is>
      </c>
      <c r="G50" s="27" t="inlineStr">
        <is>
          <t>Ngắt broker 60 s rồi khôi phục.</t>
        </is>
      </c>
      <c r="H50" s="27" t="inlineStr">
        <is>
          <t>MQTT_DISCONNECTED → s_connected=false; LoRa vẫn nhận uplink và vẫn trả ACK rỗng (node không báo GW lost). Sau reconnect: re-subscribe cmd + publish online.</t>
        </is>
      </c>
      <c r="I50" s="27" t="inlineStr">
        <is>
          <t>Node không bị 'GW lost'; lệnh server mới hoạt động sau reconnect.</t>
        </is>
      </c>
      <c r="J50" s="27" t="inlineStr">
        <is>
          <t>Script + serial node.</t>
        </is>
      </c>
      <c r="K50" s="31" t="n"/>
      <c r="L50" s="31" t="n"/>
      <c r="M50" s="31" t="n"/>
      <c r="N50" s="27" t="inlineStr">
        <is>
          <t>Giữ nguyên.</t>
        </is>
      </c>
    </row>
    <row r="51" ht="96" customHeight="1">
      <c r="A51" s="29" t="inlineStr">
        <is>
          <t>F</t>
        </is>
      </c>
      <c r="B51" s="29" t="inlineStr">
        <is>
          <t>TC-F07</t>
        </is>
      </c>
      <c r="C51" s="30" t="inlineStr">
        <is>
          <t>Node + Gateway cùng mất kết nối rồi hồi phục</t>
        </is>
      </c>
      <c r="D51" s="29" t="inlineStr">
        <is>
          <t>System</t>
        </is>
      </c>
      <c r="E51" s="29" t="inlineStr">
        <is>
          <t>E2E</t>
        </is>
      </c>
      <c r="F51" s="30" t="inlineStr">
        <is>
          <t>Kết hợp TC-F06 + TC-E06.</t>
        </is>
      </c>
      <c r="G51" s="30" t="inlineStr">
        <is>
          <t>Ngắt cả broker và gateway-node link; chờ timeout node.</t>
        </is>
      </c>
      <c r="H51" s="30" t="inlineStr">
        <is>
          <t>Sau khi cả 2 trở lại → node online, alarm 0x05 cleared, có data mới.</t>
        </is>
      </c>
      <c r="I51" s="30" t="inlineStr">
        <is>
          <t>Trạng thái online + data mới + alarm cleared.</t>
        </is>
      </c>
      <c r="J51" s="30" t="inlineStr">
        <is>
          <t>Script + serial toàn chuỗi.</t>
        </is>
      </c>
      <c r="K51" s="29" t="n"/>
      <c r="L51" s="29" t="n"/>
      <c r="M51" s="29" t="n"/>
      <c r="N51" s="30" t="inlineStr">
        <is>
          <t>Giữ nguyên.</t>
        </is>
      </c>
    </row>
    <row r="52" ht="96" customHeight="1">
      <c r="A52" s="28" t="inlineStr">
        <is>
          <t>F</t>
        </is>
      </c>
      <c r="B52" s="28" t="inlineStr">
        <is>
          <t>TC-F08</t>
        </is>
      </c>
      <c r="C52" s="13" t="inlineStr">
        <is>
          <t>Baseline provisioning E2E (3 series) qua MQTT</t>
        </is>
      </c>
      <c r="D52" s="28" t="inlineStr">
        <is>
          <t>System</t>
        </is>
      </c>
      <c r="E52" s="28" t="inlineStr">
        <is>
          <t>End-to-end</t>
        </is>
      </c>
      <c r="F52" s="13" t="inlineStr">
        <is>
          <t>Node NVS baseline TRỐNG; gateway online.</t>
        </is>
      </c>
      <c r="G52" s="13" t="inlineStr">
        <is>
          <t>Publish 1 message set_baseline (schema mới, 3 series) cho node 0x01 → cold boot node.</t>
        </is>
      </c>
      <c r="H52" s="13" t="inlineStr">
        <is>
          <t>Gateway lưu 3 series → gửi chunk khi node REQ → node commit mask=0x07 → gửi 0x08 ×3 → gateway publish baseline 'done' ×3 → node gửi data bình thường.</t>
        </is>
      </c>
      <c r="I52" s="13" t="inlineStr">
        <is>
          <t>Đủ 3 message 'done'; node gửi data sau đó.</t>
        </is>
      </c>
      <c r="J52" s="13" t="inlineStr">
        <is>
          <t>Suite baseline_provision.json + serial 2 phía.</t>
        </is>
      </c>
      <c r="K52" s="28" t="n"/>
      <c r="L52" s="28" t="n"/>
      <c r="M52" s="28" t="n"/>
      <c r="N52" s="13" t="inlineStr">
        <is>
          <t>[MỚI] Đưa testcase baseline (trước đây tách ở Baseline_AWS_System_Test.xlsx) vào bảng chính.</t>
        </is>
      </c>
    </row>
    <row r="53" ht="96" customHeight="1">
      <c r="A53" s="28" t="inlineStr">
        <is>
          <t>F</t>
        </is>
      </c>
      <c r="B53" s="28" t="inlineStr">
        <is>
          <t>TC-F09</t>
        </is>
      </c>
      <c r="C53" s="13" t="inlineStr">
        <is>
          <t>End-to-end qua HiveMQ — data tới broker</t>
        </is>
      </c>
      <c r="D53" s="28" t="inlineStr">
        <is>
          <t>System</t>
        </is>
      </c>
      <c r="E53" s="28" t="inlineStr">
        <is>
          <t>HiveMQ↔GW↔Node</t>
        </is>
      </c>
      <c r="F53" s="13" t="inlineStr">
        <is>
          <t>Gateway online trên HiveMQ; node online.</t>
        </is>
      </c>
      <c r="G53" s="13" t="inlineStr">
        <is>
          <t>Nhấn nút GPIO34 (hoặc publish {"cmd":"report"}) để node gửi uplink.</t>
        </is>
      </c>
      <c r="H53" s="13" t="inlineStr">
        <is>
          <t>mosquitto_sub nhận irrigation/HCM/gw_01/node_01/data đúng schema.</t>
        </is>
      </c>
      <c r="I53" s="13" t="inlineStr">
        <is>
          <t>Message xuất hiện trên HiveMQ trong &lt; 60 s.</t>
        </is>
      </c>
      <c r="J53" s="13" t="inlineStr">
        <is>
          <t>mosquitto_sub / script server.</t>
        </is>
      </c>
      <c r="K53" s="28" t="n"/>
      <c r="L53" s="28" t="n"/>
      <c r="M53" s="28" t="n"/>
      <c r="N53" s="13" t="inlineStr">
        <is>
          <t>[CẬP NHẬT] Thay AWS bằng HiveMQ. Chi tiết ở nhóm K.</t>
        </is>
      </c>
    </row>
    <row r="54" ht="96" customHeight="1">
      <c r="A54" s="31" t="inlineStr">
        <is>
          <t>G</t>
        </is>
      </c>
      <c r="B54" s="31" t="inlineStr">
        <is>
          <t>TC-G01</t>
        </is>
      </c>
      <c r="C54" s="27" t="inlineStr">
        <is>
          <t>Uplink CRC sai → ignore</t>
        </is>
      </c>
      <c r="D54" s="31" t="inlineStr">
        <is>
          <t>Negative</t>
        </is>
      </c>
      <c r="E54" s="31" t="inlineStr">
        <is>
          <t>Edge case</t>
        </is>
      </c>
      <c r="F54" s="27" t="inlineStr">
        <is>
          <t>-</t>
        </is>
      </c>
      <c r="G54" s="27" t="inlineStr">
        <is>
          <t>01 01 00 32 44 41 55 00 (CRC sai).</t>
        </is>
      </c>
      <c r="H54" s="27" t="inlineStr">
        <is>
          <t>lora_read_packet trả false; không publish, không ACK.</t>
        </is>
      </c>
      <c r="I54" s="27" t="inlineStr">
        <is>
          <t>Không data, không ACK.</t>
        </is>
      </c>
      <c r="J54" s="27" t="inlineStr">
        <is>
          <t>Serial gateway.</t>
        </is>
      </c>
      <c r="K54" s="31" t="n"/>
      <c r="L54" s="31" t="n"/>
      <c r="M54" s="31" t="n"/>
      <c r="N54" s="27" t="inlineStr">
        <is>
          <t>Giữ nguyên.</t>
        </is>
      </c>
    </row>
    <row r="55" ht="96" customHeight="1">
      <c r="A55" s="29" t="inlineStr">
        <is>
          <t>G</t>
        </is>
      </c>
      <c r="B55" s="29" t="inlineStr">
        <is>
          <t>TC-G02</t>
        </is>
      </c>
      <c r="C55" s="30" t="inlineStr">
        <is>
          <t>Downlink sai node → no ACK</t>
        </is>
      </c>
      <c r="D55" s="29" t="inlineStr">
        <is>
          <t>Negative</t>
        </is>
      </c>
      <c r="E55" s="29" t="inlineStr">
        <is>
          <t>Edge case</t>
        </is>
      </c>
      <c r="F55" s="30" t="inlineStr">
        <is>
          <t>Node id=1.</t>
        </is>
      </c>
      <c r="G55" s="30" t="inlineStr">
        <is>
          <t>Downlink dest=0x02 CRC đúng.</t>
        </is>
      </c>
      <c r="H55" s="30" t="inlineStr">
        <is>
          <t>Node log 'Downlink for node 0x02 - ignoring, no ACK'.</t>
        </is>
      </c>
      <c r="I55" s="30" t="inlineStr">
        <is>
          <t>Không ACK 0x03.</t>
        </is>
      </c>
      <c r="J55" s="30" t="inlineStr">
        <is>
          <t>Serial node.</t>
        </is>
      </c>
      <c r="K55" s="29" t="n"/>
      <c r="L55" s="29" t="n"/>
      <c r="M55" s="29" t="n"/>
      <c r="N55" s="30" t="inlineStr">
        <is>
          <t>Giữ nguyên.</t>
        </is>
      </c>
    </row>
    <row r="56" ht="96" customHeight="1">
      <c r="A56" s="31" t="inlineStr">
        <is>
          <t>G</t>
        </is>
      </c>
      <c r="B56" s="31" t="inlineStr">
        <is>
          <t>TC-G03</t>
        </is>
      </c>
      <c r="C56" s="27" t="inlineStr">
        <is>
          <t>JSON invalid / thiếu cmd</t>
        </is>
      </c>
      <c r="D56" s="31" t="inlineStr">
        <is>
          <t>Negative</t>
        </is>
      </c>
      <c r="E56" s="31" t="inlineStr">
        <is>
          <t>Edge case</t>
        </is>
      </c>
      <c r="F56" s="27" t="inlineStr">
        <is>
          <t>-</t>
        </is>
      </c>
      <c r="G56" s="27" t="inlineStr">
        <is>
          <t>{"foo":1} hoặc chuỗi không-JSON.</t>
        </is>
      </c>
      <c r="H56" s="27" t="inlineStr">
        <is>
          <t>Gateway log 'JSON command missing cmd' / 'Failed to parse JSON'; không forward, không cache.</t>
        </is>
      </c>
      <c r="I56" s="27" t="inlineStr">
        <is>
          <t>commands_cached = 0.</t>
        </is>
      </c>
      <c r="J56" s="27" t="inlineStr">
        <is>
          <t>Serial gateway + status.</t>
        </is>
      </c>
      <c r="K56" s="31" t="n"/>
      <c r="L56" s="31" t="n"/>
      <c r="M56" s="31" t="n"/>
      <c r="N56" s="27" t="inlineStr">
        <is>
          <t>Giữ nguyên.</t>
        </is>
      </c>
    </row>
    <row r="57" ht="96" customHeight="1">
      <c r="A57" s="29" t="inlineStr">
        <is>
          <t>G</t>
        </is>
      </c>
      <c r="B57" s="29" t="inlineStr">
        <is>
          <t>TC-G04</t>
        </is>
      </c>
      <c r="C57" s="30" t="inlineStr">
        <is>
          <t>Command lạ</t>
        </is>
      </c>
      <c r="D57" s="29" t="inlineStr">
        <is>
          <t>Negative</t>
        </is>
      </c>
      <c r="E57" s="29" t="inlineStr">
        <is>
          <t>Edge case</t>
        </is>
      </c>
      <c r="F57" s="30" t="inlineStr">
        <is>
          <t>-</t>
        </is>
      </c>
      <c r="G57" s="30" t="inlineStr">
        <is>
          <t>{"cmd":"do_thing"}.</t>
        </is>
      </c>
      <c r="H57" s="30" t="inlineStr">
        <is>
          <t>Gateway log 'Unknown command: do_thing'; không forward.</t>
        </is>
      </c>
      <c r="I57" s="30" t="inlineStr">
        <is>
          <t>Không có lệnh xuống node.</t>
        </is>
      </c>
      <c r="J57" s="30" t="inlineStr">
        <is>
          <t>Serial gateway.</t>
        </is>
      </c>
      <c r="K57" s="29" t="n"/>
      <c r="L57" s="29" t="n"/>
      <c r="M57" s="29" t="n"/>
      <c r="N57" s="30" t="inlineStr">
        <is>
          <t>Giữ nguyên.</t>
        </is>
      </c>
    </row>
    <row r="58" ht="96" customHeight="1">
      <c r="A58" s="31" t="inlineStr">
        <is>
          <t>G</t>
        </is>
      </c>
      <c r="B58" s="31" t="inlineStr">
        <is>
          <t>TC-G05</t>
        </is>
      </c>
      <c r="C58" s="27" t="inlineStr">
        <is>
          <t>set_threshold low &gt;= high → local reject</t>
        </is>
      </c>
      <c r="D58" s="31" t="inlineStr">
        <is>
          <t>Negative</t>
        </is>
      </c>
      <c r="E58" s="31" t="inlineStr">
        <is>
          <t>Edge case</t>
        </is>
      </c>
      <c r="F58" s="27" t="inlineStr">
        <is>
          <t>-</t>
        </is>
      </c>
      <c r="G58" s="27" t="inlineStr">
        <is>
          <t>{"cmd":"set_threshold","low":80,"high":80}.</t>
        </is>
      </c>
      <c r="H58" s="27" t="inlineStr">
        <is>
          <t>Gateway clamp &lt;=100; low&gt;=high → local reject (ngưỡng local không đổi); không forward giá trị sai.</t>
        </is>
      </c>
      <c r="I58" s="27" t="inlineStr">
        <is>
          <t>Ngưỡng hiện tại giữ nguyên.</t>
        </is>
      </c>
      <c r="J58" s="27" t="inlineStr">
        <is>
          <t>Serial gateway + status.</t>
        </is>
      </c>
      <c r="K58" s="31" t="n"/>
      <c r="L58" s="31" t="n"/>
      <c r="M58" s="31" t="n"/>
      <c r="N58" s="27" t="inlineStr">
        <is>
          <t>Giữ nguyên.</t>
        </is>
      </c>
    </row>
    <row r="59" ht="96" customHeight="1">
      <c r="A59" s="28" t="inlineStr">
        <is>
          <t>G</t>
        </is>
      </c>
      <c r="B59" s="28" t="inlineStr">
        <is>
          <t>TC-G06</t>
        </is>
      </c>
      <c r="C59" s="13" t="inlineStr">
        <is>
          <t>Node table đầy (11 node) → từ chối thêm</t>
        </is>
      </c>
      <c r="D59" s="28" t="inlineStr">
        <is>
          <t>Negative</t>
        </is>
      </c>
      <c r="E59" s="28" t="inlineStr">
        <is>
          <t>Edge case</t>
        </is>
      </c>
      <c r="F59" s="13" t="inlineStr">
        <is>
          <t>Đã đủ 11 node trong bảng (MAX_NODES=11).</t>
        </is>
      </c>
      <c r="G59" s="13" t="inlineStr">
        <is>
          <t>Packet node mới (id 12) đến.</t>
        </is>
      </c>
      <c r="H59" s="13" t="inlineStr">
        <is>
          <t>Gateway log 'Node table full, cannot add node'; không thêm.</t>
        </is>
      </c>
      <c r="I59" s="13" t="inlineStr">
        <is>
          <t>Node thứ 12 không vào bảng.</t>
        </is>
      </c>
      <c r="J59" s="13" t="inlineStr">
        <is>
          <t>Serial gateway.</t>
        </is>
      </c>
      <c r="K59" s="28" t="n"/>
      <c r="L59" s="28" t="n"/>
      <c r="M59" s="28" t="n"/>
      <c r="N59" s="13" t="inlineStr">
        <is>
          <t>[CẬP NHẬT] MAX_NODES 10 → 11.</t>
        </is>
      </c>
    </row>
    <row r="60" ht="96" customHeight="1">
      <c r="A60" s="31" t="inlineStr">
        <is>
          <t>G</t>
        </is>
      </c>
      <c r="B60" s="31" t="inlineStr">
        <is>
          <t>TC-G07</t>
        </is>
      </c>
      <c r="C60" s="27" t="inlineStr">
        <is>
          <t>Compact presence=0</t>
        </is>
      </c>
      <c r="D60" s="31" t="inlineStr">
        <is>
          <t>Negative</t>
        </is>
      </c>
      <c r="E60" s="31" t="inlineStr">
        <is>
          <t>Edge case</t>
        </is>
      </c>
      <c r="F60" s="27" t="inlineStr">
        <is>
          <t>Gateway đã có dữ liệu node.</t>
        </is>
      </c>
      <c r="G60" s="27" t="inlineStr">
        <is>
          <t>01 06 00 → 01 06 00 07</t>
        </is>
      </c>
      <c r="H60" s="27" t="inlineStr">
        <is>
          <t>payload_count=0 → không merge field nào; data publish = giá trị cũ; không crash.</t>
        </is>
      </c>
      <c r="I60" s="27" t="inlineStr">
        <is>
          <t>Không crash, dữ liệu giữ nguyên.</t>
        </is>
      </c>
      <c r="J60" s="27" t="inlineStr">
        <is>
          <t>Serial + script.</t>
        </is>
      </c>
      <c r="K60" s="31" t="n"/>
      <c r="L60" s="31" t="n"/>
      <c r="M60" s="31" t="n"/>
      <c r="N60" s="27" t="inlineStr">
        <is>
          <t>Giữ nguyên.</t>
        </is>
      </c>
    </row>
    <row r="61" ht="96" customHeight="1">
      <c r="A61" s="29" t="inlineStr">
        <is>
          <t>G</t>
        </is>
      </c>
      <c r="B61" s="29" t="inlineStr">
        <is>
          <t>TC-G08</t>
        </is>
      </c>
      <c r="C61" s="30" t="inlineStr">
        <is>
          <t>Battery=0xFF (nguồn ngoài)</t>
        </is>
      </c>
      <c r="D61" s="29" t="inlineStr">
        <is>
          <t>Negative</t>
        </is>
      </c>
      <c r="E61" s="29" t="inlineStr">
        <is>
          <t>Edge case</t>
        </is>
      </c>
      <c r="F61" s="30" t="inlineStr">
        <is>
          <t>-</t>
        </is>
      </c>
      <c r="G61" s="30" t="inlineStr">
        <is>
          <t>Data battery=0xFF.</t>
        </is>
      </c>
      <c r="H61" s="30" t="inlineStr">
        <is>
          <t>Gateway publish battery:255; không alarm low-battery.</t>
        </is>
      </c>
      <c r="I61" s="30" t="inlineStr">
        <is>
          <t>battery=255 trong JSON, không cảnh báo pin.</t>
        </is>
      </c>
      <c r="J61" s="30" t="inlineStr">
        <is>
          <t>Script nhận data.</t>
        </is>
      </c>
      <c r="K61" s="29" t="n"/>
      <c r="L61" s="29" t="n"/>
      <c r="M61" s="29" t="n"/>
      <c r="N61" s="30" t="inlineStr">
        <is>
          <t>Giữ nguyên.</t>
        </is>
      </c>
    </row>
    <row r="62" ht="96" customHeight="1">
      <c r="A62" s="28" t="inlineStr">
        <is>
          <t>G</t>
        </is>
      </c>
      <c r="B62" s="28" t="inlineStr">
        <is>
          <t>TC-G09</t>
        </is>
      </c>
      <c r="C62" s="13" t="inlineStr">
        <is>
          <t>Downlink 6 byte (firmware/protocol cũ) → node không thực thi</t>
        </is>
      </c>
      <c r="D62" s="28" t="inlineStr">
        <is>
          <t>Negative</t>
        </is>
      </c>
      <c r="E62" s="28" t="inlineStr">
        <is>
          <t>Edge case</t>
        </is>
      </c>
      <c r="F62" s="13" t="inlineStr">
        <is>
          <t>Node firmware v2 (7 byte).</t>
        </is>
      </c>
      <c r="G62" s="13" t="inlineStr">
        <is>
          <t>Gửi frame 6 byte kiểu cũ: 01 05 03 00 00 &lt;crc&gt;.</t>
        </is>
      </c>
      <c r="H62" s="13" t="inlineStr">
        <is>
          <t>Node không khớp layout 7 byte → log frame lạ/không thực thi.</t>
        </is>
      </c>
      <c r="I62" s="13" t="inlineStr">
        <is>
          <t>Không panic; không thực thi lệnh sai.</t>
        </is>
      </c>
      <c r="J62" s="13" t="inlineStr">
        <is>
          <t>Serial node.</t>
        </is>
      </c>
      <c r="K62" s="28" t="n"/>
      <c r="L62" s="28" t="n"/>
      <c r="M62" s="28" t="n"/>
      <c r="N62" s="13" t="inlineStr">
        <is>
          <t>[MỚI] Bảo vệ regression khi lẫn protocol cũ.</t>
        </is>
      </c>
    </row>
    <row r="63" ht="96" customHeight="1">
      <c r="A63" s="28" t="inlineStr">
        <is>
          <t>G</t>
        </is>
      </c>
      <c r="B63" s="28" t="inlineStr">
        <is>
          <t>TC-G10</t>
        </is>
      </c>
      <c r="C63" s="13" t="inlineStr">
        <is>
          <t>set_baseline sai định dạng → không lưu</t>
        </is>
      </c>
      <c r="D63" s="28" t="inlineStr">
        <is>
          <t>Negative</t>
        </is>
      </c>
      <c r="E63" s="28" t="inlineStr">
        <is>
          <t>Edge case</t>
        </is>
      </c>
      <c r="F63" s="13" t="inlineStr">
        <is>
          <t>-</t>
        </is>
      </c>
      <c r="G63" s="13" t="inlineStr">
        <is>
          <t>① t không tăng dần [[0,10],[0,20]]; ② 97 điểm; ③ series=5; ④ y=300.</t>
        </is>
      </c>
      <c r="H63" s="13" t="inlineStr">
        <is>
          <t>Gateway log 'set_baseline: bad point/count/series ...'; KHÔNG lưu series.</t>
        </is>
      </c>
      <c r="I63" s="13" t="inlineStr">
        <is>
          <t>Không có log 'Baseline accepted'; bảng cũ giữ nguyên.</t>
        </is>
      </c>
      <c r="J63" s="13" t="inlineStr">
        <is>
          <t>Serial gateway.</t>
        </is>
      </c>
      <c r="K63" s="28" t="n"/>
      <c r="L63" s="28" t="n"/>
      <c r="M63" s="28" t="n"/>
      <c r="N63" s="13" t="inlineStr">
        <is>
          <t>[MỚI]</t>
        </is>
      </c>
    </row>
    <row r="64" ht="96" customHeight="1">
      <c r="A64" s="28" t="inlineStr">
        <is>
          <t>G</t>
        </is>
      </c>
      <c r="B64" s="28" t="inlineStr">
        <is>
          <t>TC-G11</t>
        </is>
      </c>
      <c r="C64" s="13" t="inlineStr">
        <is>
          <t>Baseline chunk CRC sai → bỏ qua, REQ lại</t>
        </is>
      </c>
      <c r="D64" s="28" t="inlineStr">
        <is>
          <t>Negative</t>
        </is>
      </c>
      <c r="E64" s="28" t="inlineStr">
        <is>
          <t>Edge case</t>
        </is>
      </c>
      <c r="F64" s="13" t="inlineStr">
        <is>
          <t>Node đang trong phiên nhận baseline.</t>
        </is>
      </c>
      <c r="G64" s="13" t="inlineStr">
        <is>
          <t>Sửa 1 byte trong chunk 0x07.</t>
        </is>
      </c>
      <c r="H64" s="13" t="inlineStr">
        <is>
          <t>Node log 'Chunk CRC mismatch'; bỏ qua chunk; tiếp tục REQ series đó.</t>
        </is>
      </c>
      <c r="I64" s="13" t="inlineStr">
        <is>
          <t>Không lưu series hỏng; không crash.</t>
        </is>
      </c>
      <c r="J64" s="13" t="inlineStr">
        <is>
          <t>Serial node.</t>
        </is>
      </c>
      <c r="K64" s="28" t="n"/>
      <c r="L64" s="28" t="n"/>
      <c r="M64" s="28" t="n"/>
      <c r="N64" s="13" t="inlineStr">
        <is>
          <t>[MỚI]</t>
        </is>
      </c>
    </row>
    <row r="65" ht="96" customHeight="1">
      <c r="A65" s="28" t="inlineStr">
        <is>
          <t>G</t>
        </is>
      </c>
      <c r="B65" s="28" t="inlineStr">
        <is>
          <t>TC-G12</t>
        </is>
      </c>
      <c r="C65" s="13" t="inlineStr">
        <is>
          <t>Chunk trùng seq → chỉ xử lý 1 lần</t>
        </is>
      </c>
      <c r="D65" s="28" t="inlineStr">
        <is>
          <t>Negative</t>
        </is>
      </c>
      <c r="E65" s="28" t="inlineStr">
        <is>
          <t>Edge case</t>
        </is>
      </c>
      <c r="F65" s="13" t="inlineStr">
        <is>
          <t>Node đang nhận baseline.</t>
        </is>
      </c>
      <c r="G65" s="13" t="inlineStr">
        <is>
          <t>Gửi 2 lần cùng seq.</t>
        </is>
      </c>
      <c r="H65" s="13" t="inlineStr">
        <is>
          <t>Lần 2 bị bitmask recv[] chặn → không tăng count sai.</t>
        </is>
      </c>
      <c r="I65" s="13" t="inlineStr">
        <is>
          <t>count đúng; commit mask đúng.</t>
        </is>
      </c>
      <c r="J65" s="13" t="inlineStr">
        <is>
          <t>Serial node.</t>
        </is>
      </c>
      <c r="K65" s="28" t="n"/>
      <c r="L65" s="28" t="n"/>
      <c r="M65" s="28" t="n"/>
      <c r="N65" s="13" t="inlineStr">
        <is>
          <t>[MỚI]</t>
        </is>
      </c>
    </row>
    <row r="66" ht="96" customHeight="1">
      <c r="A66" s="28" t="inlineStr">
        <is>
          <t>G</t>
        </is>
      </c>
      <c r="B66" s="28" t="inlineStr">
        <is>
          <t>TC-G13</t>
        </is>
      </c>
      <c r="C66" s="13" t="inlineStr">
        <is>
          <t>NVS baseline hỏng (blob sai kích thước) → coi như thiếu</t>
        </is>
      </c>
      <c r="D66" s="28" t="inlineStr">
        <is>
          <t>Negative</t>
        </is>
      </c>
      <c r="E66" s="28" t="inlineStr">
        <is>
          <t>Edge case</t>
        </is>
      </c>
      <c r="F66" s="13" t="inlineStr">
        <is>
          <t>-</t>
        </is>
      </c>
      <c r="G66" s="13" t="inlineStr">
        <is>
          <t>Ghi blob baseline sai kích thước rồi reboot.</t>
        </is>
      </c>
      <c r="H66" s="13" t="inlineStr">
        <is>
          <t>baseline_init() bỏ qua blob; baseline_valid_mask()!=0x07 → boot-sync chạy lại.</t>
        </is>
      </c>
      <c r="I66" s="13" t="inlineStr">
        <is>
          <t>Node xin baseline lại; không crash.</t>
        </is>
      </c>
      <c r="J66" s="13" t="inlineStr">
        <is>
          <t>Serial node.</t>
        </is>
      </c>
      <c r="K66" s="28" t="n"/>
      <c r="L66" s="28" t="n"/>
      <c r="M66" s="28" t="n"/>
      <c r="N66" s="13" t="inlineStr">
        <is>
          <t>[MỚI]</t>
        </is>
      </c>
    </row>
    <row r="67" ht="96" customHeight="1">
      <c r="A67" s="28" t="inlineStr">
        <is>
          <t>G</t>
        </is>
      </c>
      <c r="B67" s="28" t="inlineStr">
        <is>
          <t>TC-G14</t>
        </is>
      </c>
      <c r="C67" s="13" t="inlineStr">
        <is>
          <t>Slot chưa hợp lệ → baseline gating OFF</t>
        </is>
      </c>
      <c r="D67" s="28" t="inlineStr">
        <is>
          <t>Negative</t>
        </is>
      </c>
      <c r="E67" s="28" t="inlineStr">
        <is>
          <t>Edge case</t>
        </is>
      </c>
      <c r="F67" s="13" t="inlineStr">
        <is>
          <t>Xoá RTC (cold boot) nhưng chặn sync_slot/downlink để slot_valid=0.</t>
        </is>
      </c>
      <c r="G67" s="13" t="inlineStr">
        <is>
          <t>Để node chạy 1 chu kỳ.</t>
        </is>
      </c>
      <c r="H67" s="13" t="inlineStr">
        <is>
          <t>base_send=false; log 'Boot sync: no slot yet - baseline gating stays OFF'; delta/threshold vẫn hoạt động.</t>
        </is>
      </c>
      <c r="I67" s="13" t="inlineStr">
        <is>
          <t>Node không gửi sai; tiếp tục retry sync chu kỳ sau.</t>
        </is>
      </c>
      <c r="J67" s="13" t="inlineStr">
        <is>
          <t>Serial node.</t>
        </is>
      </c>
      <c r="K67" s="28" t="n"/>
      <c r="L67" s="28" t="n"/>
      <c r="M67" s="28" t="n"/>
      <c r="N67" s="13" t="inlineStr">
        <is>
          <t>[MỚI]</t>
        </is>
      </c>
    </row>
    <row r="68" ht="96" customHeight="1">
      <c r="A68" s="28" t="inlineStr">
        <is>
          <t>G</t>
        </is>
      </c>
      <c r="B68" s="28" t="inlineStr">
        <is>
          <t>TC-G15</t>
        </is>
      </c>
      <c r="C68" s="13" t="inlineStr">
        <is>
          <t>set_mode ngoài [0..2]</t>
        </is>
      </c>
      <c r="D68" s="28" t="inlineStr">
        <is>
          <t>Negative</t>
        </is>
      </c>
      <c r="E68" s="28" t="inlineStr">
        <is>
          <t>Edge case</t>
        </is>
      </c>
      <c r="F68" s="13" t="inlineStr">
        <is>
          <t>Node online.</t>
        </is>
      </c>
      <c r="G68" s="13" t="inlineStr">
        <is>
          <t>{"cmd":"set_mode","mode":7}.</t>
        </is>
      </c>
      <c r="H68" s="13" t="inlineStr">
        <is>
          <t>Node clamp/ignore giá trị &gt; 2 (giữ mode cũ hoặc clamp) và ACK.</t>
        </is>
      </c>
      <c r="I68" s="13" t="inlineStr">
        <is>
          <t>Mode nằm trong 0..2.</t>
        </is>
      </c>
      <c r="J68" s="13" t="inlineStr">
        <is>
          <t>Serial node.</t>
        </is>
      </c>
      <c r="K68" s="28" t="n"/>
      <c r="L68" s="28" t="n"/>
      <c r="M68" s="28" t="n"/>
      <c r="N68" s="13" t="inlineStr">
        <is>
          <t>[MỚI]</t>
        </is>
      </c>
    </row>
    <row r="69" ht="96" customHeight="1">
      <c r="A69" s="28" t="inlineStr">
        <is>
          <t>H</t>
        </is>
      </c>
      <c r="B69" s="28" t="inlineStr">
        <is>
          <t>TC-H01</t>
        </is>
      </c>
      <c r="C69" s="13" t="inlineStr">
        <is>
          <t>sync_slot từ server → gateway reset mốc t=0</t>
        </is>
      </c>
      <c r="D69" s="28" t="inlineStr">
        <is>
          <t>IT</t>
        </is>
      </c>
      <c r="E69" s="28" t="inlineStr">
        <is>
          <t>GW↔Server</t>
        </is>
      </c>
      <c r="F69" s="13" t="inlineStr">
        <is>
          <t>Gateway online; biết slot hiện tại.</t>
        </is>
      </c>
      <c r="G69" s="13" t="inlineStr">
        <is>
          <t>Publish tới irrigation/HCM/gw_01/node_FF/cmd: {"cmd":"sync_slot","slot_ms":900000}.</t>
        </is>
      </c>
      <c r="H69" s="13" t="inlineStr">
        <is>
          <t>① Gateway log 'Server sync_slot: base reset to 0 (node 0xFF, slot_ms=900000)'.
② Gateway KHÔNG publish message nào (lệnh gateway-level).
③ Downlink kế tiếp mang slot nhỏ (gần 0).</t>
        </is>
      </c>
      <c r="I69" s="13" t="inlineStr">
        <is>
          <t>(1) log đúng trong 2 s; (2) không phát sinh publish; (3) slot ở downlink kế gần 0.</t>
        </is>
      </c>
      <c r="J69" s="13" t="inlineStr">
        <is>
          <t>Serial gateway + script.</t>
        </is>
      </c>
      <c r="K69" s="28" t="n"/>
      <c r="L69" s="28" t="n"/>
      <c r="M69" s="28" t="n"/>
      <c r="N69" s="13" t="inlineStr">
        <is>
          <t>[MỚI]</t>
        </is>
      </c>
    </row>
    <row r="70" ht="96" customHeight="1">
      <c r="A70" s="28" t="inlineStr">
        <is>
          <t>H</t>
        </is>
      </c>
      <c r="B70" s="28" t="inlineStr">
        <is>
          <t>TC-H02</t>
        </is>
      </c>
      <c r="C70" s="13" t="inlineStr">
        <is>
          <t>Mọi downlink mang slot (frame 7 byte)</t>
        </is>
      </c>
      <c r="D70" s="28" t="inlineStr">
        <is>
          <t>IT</t>
        </is>
      </c>
      <c r="E70" s="28" t="inlineStr">
        <is>
          <t>GW↔Node</t>
        </is>
      </c>
      <c r="F70" s="13" t="inlineStr">
        <is>
          <t>Node online; slot hiện tại=32.</t>
        </is>
      </c>
      <c r="G70" s="13" t="inlineStr">
        <is>
          <t>Nhấn nút GPIO34 để ép 1 uplink.</t>
        </is>
      </c>
      <c r="H70" s="13" t="inlineStr">
        <is>
          <t>Gateway TX: 'NN 05 09 00 00 20 &lt;crc&gt;' (7 byte, CRC = XOR 6 byte đầu).
Node log 'Downlink cmd: ... slot=32' + 'Slot synced/updated'.</t>
        </is>
      </c>
      <c r="I70" s="13" t="inlineStr">
        <is>
          <t>Frame = 7 byte; CRC đúng; slot khớp slot_current() của gateway.</t>
        </is>
      </c>
      <c r="J70" s="13" t="inlineStr">
        <is>
          <t>Serial cả 2 phía.</t>
        </is>
      </c>
      <c r="K70" s="28" t="n"/>
      <c r="L70" s="28" t="n"/>
      <c r="M70" s="28" t="n"/>
      <c r="N70" s="13" t="inlineStr">
        <is>
          <t>[MỚI]</t>
        </is>
      </c>
    </row>
    <row r="71" ht="96" customHeight="1">
      <c r="A71" s="28" t="inlineStr">
        <is>
          <t>H</t>
        </is>
      </c>
      <c r="B71" s="28" t="inlineStr">
        <is>
          <t>TC-H03</t>
        </is>
      </c>
      <c r="C71" s="13" t="inlineStr">
        <is>
          <t>Broadcast biên 95→0 lặp mỗi ~45 s trong ~5 phút</t>
        </is>
      </c>
      <c r="D71" s="28" t="inlineStr">
        <is>
          <t>IT</t>
        </is>
      </c>
      <c r="E71" s="28" t="inlineStr">
        <is>
          <t>Gateway</t>
        </is>
      </c>
      <c r="F71" s="13" t="inlineStr">
        <is>
          <t>Vừa qua mốc wrap 95→0.</t>
        </is>
      </c>
      <c r="G71" s="13" t="inlineStr">
        <is>
          <t>Quan sát log TX gateway trong 6 phút sau mốc.</t>
        </is>
      </c>
      <c r="H71" s="13" t="inlineStr">
        <is>
          <t>Nhiều frame broadcast dest=0xFF, cmd=0x09, slot=0: FF 05 09 00 00 00 F3, cách nhau ~45 s; dừng sau ~5 phút.</t>
        </is>
      </c>
      <c r="I71" s="13" t="inlineStr">
        <is>
          <t>&gt;= 5 lần broadcast; không broadcast sau cửa sổ 5 phút.</t>
        </is>
      </c>
      <c r="J71" s="13" t="inlineStr">
        <is>
          <t>Serial gateway (log TX) / sniffer LoRa.</t>
        </is>
      </c>
      <c r="K71" s="28" t="n"/>
      <c r="L71" s="28" t="n"/>
      <c r="M71" s="28" t="n"/>
      <c r="N71" s="13" t="inlineStr">
        <is>
          <t>[MỚI]</t>
        </is>
      </c>
    </row>
    <row r="72" ht="96" customHeight="1">
      <c r="A72" s="28" t="inlineStr">
        <is>
          <t>H</t>
        </is>
      </c>
      <c r="B72" s="28" t="inlineStr">
        <is>
          <t>TC-H04</t>
        </is>
      </c>
      <c r="C72" s="13" t="inlineStr">
        <is>
          <t>Node thức sát 00:00 để nhận broadcast t=0</t>
        </is>
      </c>
      <c r="D72" s="28" t="inlineStr">
        <is>
          <t>System</t>
        </is>
      </c>
      <c r="E72" s="28" t="inlineStr">
        <is>
          <t>End-to-end</t>
        </is>
      </c>
      <c r="F72" s="13" t="inlineStr">
        <is>
          <t>Node online, slot hợp lệ. Dùng slot_ms nhỏ để nén thời gian test.</t>
        </is>
      </c>
      <c r="G72" s="13" t="inlineStr">
        <is>
          <t>① sync_slot với slot_ms=600000; ② chờ tới khi gateway gần wrap 95→0.</t>
        </is>
      </c>
      <c r="H72" s="13" t="inlineStr">
        <is>
          <t>① Gateway log 'Slot boundary 95-&gt;0: broadcasting t=0 for ~5 min'.
② Node log 'Near t=0 (...) - listening for broadcast sync' rồi 'Boundary listen done: slot=0 valid=1'.
③ Node tiếp tục gửi data.</t>
        </is>
      </c>
      <c r="I72" s="13" t="inlineStr">
        <is>
          <t>Node nhận slot=0 và tiếp tục chạy; tổng thời gian nghe &lt;= 6 phút.</t>
        </is>
      </c>
      <c r="J72" s="13" t="inlineStr">
        <is>
          <t>Serial cả 2 phía.</t>
        </is>
      </c>
      <c r="K72" s="28" t="n"/>
      <c r="L72" s="28" t="n"/>
      <c r="M72" s="28" t="n"/>
      <c r="N72" s="13" t="inlineStr">
        <is>
          <t>[MỚI]</t>
        </is>
      </c>
    </row>
    <row r="73" ht="96" customHeight="1">
      <c r="A73" s="28" t="inlineStr">
        <is>
          <t>H</t>
        </is>
      </c>
      <c r="B73" s="28" t="inlineStr">
        <is>
          <t>TC-H05</t>
        </is>
      </c>
      <c r="C73" s="13" t="inlineStr">
        <is>
          <t>Cold boot khi NVS ĐÃ có baseline → chỉ xin time</t>
        </is>
      </c>
      <c r="D73" s="28" t="inlineStr">
        <is>
          <t>System</t>
        </is>
      </c>
      <c r="E73" s="28" t="inlineStr">
        <is>
          <t>Node↔GW</t>
        </is>
      </c>
      <c r="F73" s="13" t="inlineStr">
        <is>
          <t>Node đã có baseline; cấp nguồn lại (RTC mất).</t>
        </is>
      </c>
      <c r="G73" s="13" t="inlineStr">
        <is>
          <t>Không can thiệp.</t>
        </is>
      </c>
      <c r="H73" s="13" t="inlineStr">
        <is>
          <t>Log 'Boot sync start: need_baseline=0 need_time=1'; uplink REQ 02 09 02 00 00 00 00 09; sau 1 downlink → 'Boot sync: slot=&lt;n&gt;'; không xin baseline.</t>
        </is>
      </c>
      <c r="I73" s="13" t="inlineStr">
        <is>
          <t>Không có yêu cầu baseline; 1–3 lượt REQ; vào chu kỳ thường &lt; 60 s.</t>
        </is>
      </c>
      <c r="J73" s="13" t="inlineStr">
        <is>
          <t>Serial node + gateway.</t>
        </is>
      </c>
      <c r="K73" s="28" t="n"/>
      <c r="L73" s="28" t="n"/>
      <c r="M73" s="28" t="n"/>
      <c r="N73" s="13" t="inlineStr">
        <is>
          <t>[MỚI]</t>
        </is>
      </c>
    </row>
    <row r="74" ht="96" customHeight="1">
      <c r="A74" s="28" t="inlineStr">
        <is>
          <t>H</t>
        </is>
      </c>
      <c r="B74" s="28" t="inlineStr">
        <is>
          <t>TC-H06</t>
        </is>
      </c>
      <c r="C74" s="13" t="inlineStr">
        <is>
          <t>Slot tiến theo delta thời gian thực (RTC qua deep sleep)</t>
        </is>
      </c>
      <c r="D74" s="28" t="inlineStr">
        <is>
          <t>IT</t>
        </is>
      </c>
      <c r="E74" s="28" t="inlineStr">
        <is>
          <t>Node</t>
        </is>
      </c>
      <c r="F74" s="13" t="inlineStr">
        <is>
          <t>Node đã sync slot; để chạy nhiều chu kỳ (kể cả wake sớm do nút).</t>
        </is>
      </c>
      <c r="G74" s="13" t="inlineStr">
        <is>
          <t>Quan sát log drift/cycle.</t>
        </is>
      </c>
      <c r="H74" s="13" t="inlineStr">
        <is>
          <t>Node dùng esp_clk_rtc_time() để cộng phần thời gian thực đã trôi (config_advance_slot_us) thay vì cộng cứng cfg-&gt;interval; log drift per-cycle + total.</t>
        </is>
      </c>
      <c r="I74" s="13" t="inlineStr">
        <is>
          <t>Slot không trôi lũy tiến; tổng drift ~0 qua nhiều chu kỳ.</t>
        </is>
      </c>
      <c r="J74" s="13" t="inlineStr">
        <is>
          <t>Serial node (log drift).</t>
        </is>
      </c>
      <c r="K74" s="28" t="n"/>
      <c r="L74" s="28" t="n"/>
      <c r="M74" s="28" t="n"/>
      <c r="N74" s="13" t="inlineStr">
        <is>
          <t>[MỚI] RTC clock giữ qua deep sleep (CAL_CYCLES=1024).</t>
        </is>
      </c>
    </row>
    <row r="75" ht="96" customHeight="1">
      <c r="A75" s="28" t="inlineStr">
        <is>
          <t>I</t>
        </is>
      </c>
      <c r="B75" s="28" t="inlineStr">
        <is>
          <t>TC-I01</t>
        </is>
      </c>
      <c r="C75" s="13" t="inlineStr">
        <is>
          <t>set_baseline schema MỚI — 1 message = cả 3 series</t>
        </is>
      </c>
      <c r="D75" s="28" t="inlineStr">
        <is>
          <t>IT</t>
        </is>
      </c>
      <c r="E75" s="28" t="inlineStr">
        <is>
          <t>Server→GW</t>
        </is>
      </c>
      <c r="F75" s="13" t="inlineStr">
        <is>
          <t>Gateway online; node 0x01 tồn tại trong bảng.</t>
        </is>
      </c>
      <c r="G75" s="13" t="inlineStr">
        <is>
          <t>Publish {"cmd":"set_baseline","version":3,"series":[[[0,68],[32,70],[95,60]],[[0,55],[32,60],[95,58]],[[0,40],[32,35],[95,30]]]}.</t>
        </is>
      </c>
      <c r="H75" s="13" t="inlineStr">
        <is>
          <t>Gateway tách 3 series và gọi baseline_store() ×3; log 'Baseline accepted: node 0x01 series=0/1/2 v3' và 'set_baseline table: node 0x01 v3 -&gt; 3 series stored'.</t>
        </is>
      </c>
      <c r="I75" s="13" t="inlineStr">
        <is>
          <t>3 series được lưu; series thiếu/null/[] (nếu có) được bỏ qua, không xoá series cũ.</t>
        </is>
      </c>
      <c r="J75" s="13" t="inlineStr">
        <is>
          <t>Serial gateway.</t>
        </is>
      </c>
      <c r="K75" s="28" t="n"/>
      <c r="L75" s="28" t="n"/>
      <c r="M75" s="28" t="n"/>
      <c r="N75" s="13" t="inlineStr">
        <is>
          <t>[MỚI]</t>
        </is>
      </c>
    </row>
    <row r="76" ht="96" customHeight="1">
      <c r="A76" s="28" t="inlineStr">
        <is>
          <t>I</t>
        </is>
      </c>
      <c r="B76" s="28" t="inlineStr">
        <is>
          <t>TC-I02</t>
        </is>
      </c>
      <c r="C76" s="13" t="inlineStr">
        <is>
          <t>set_baseline schema CŨ — 1 message / 1 series vẫn chấp nhận</t>
        </is>
      </c>
      <c r="D76" s="28" t="inlineStr">
        <is>
          <t>IT</t>
        </is>
      </c>
      <c r="E76" s="28" t="inlineStr">
        <is>
          <t>Server→GW</t>
        </is>
      </c>
      <c r="F76" s="13" t="inlineStr">
        <is>
          <t>Gateway online.</t>
        </is>
      </c>
      <c r="G76" s="13" t="inlineStr">
        <is>
          <t>Publish {"cmd":"set_baseline","series":2,"version":1,"points":[[0,40],[32,45],[95,55]]}.</t>
        </is>
      </c>
      <c r="H76" s="13" t="inlineStr">
        <is>
          <t>Gateway log 'Baseline accepted for node 0x01 series=2 v1 (3 points)'.</t>
        </is>
      </c>
      <c r="I76" s="13" t="inlineStr">
        <is>
          <t>Tương thích ngược với server cũ.</t>
        </is>
      </c>
      <c r="J76" s="13" t="inlineStr">
        <is>
          <t>Serial gateway.</t>
        </is>
      </c>
      <c r="K76" s="28" t="n"/>
      <c r="L76" s="28" t="n"/>
      <c r="M76" s="28" t="n"/>
      <c r="N76" s="13" t="inlineStr">
        <is>
          <t>[MỚI]</t>
        </is>
      </c>
    </row>
    <row r="77" ht="96" customHeight="1">
      <c r="A77" s="28" t="inlineStr">
        <is>
          <t>I</t>
        </is>
      </c>
      <c r="B77" s="28" t="inlineStr">
        <is>
          <t>TC-I03</t>
        </is>
      </c>
      <c r="C77" s="13" t="inlineStr">
        <is>
          <t>Gateway gửi chunk 0x07 (3 chunk/flush) khi node REQ</t>
        </is>
      </c>
      <c r="D77" s="28" t="inlineStr">
        <is>
          <t>IT</t>
        </is>
      </c>
      <c r="E77" s="28" t="inlineStr">
        <is>
          <t>GW↔Node</t>
        </is>
      </c>
      <c r="F77" s="13" t="inlineStr">
        <is>
          <t>Node gửi REQ 0x09; gateway có baseline đã lưu.</t>
        </is>
      </c>
      <c r="G77" s="13" t="inlineStr">
        <is>
          <t>Node uplink (REQ) → ack_or_flush_node().</t>
        </is>
      </c>
      <c r="H77" s="13" t="inlineStr">
        <is>
          <t>Gateway log 'Sent N baseline chunk(s) to node 0x01'; frame 0x07 dài 7+2n+1 byte; ví dụ series0 v1 seq0/1 n=3: 02 07 00 01 00 01 03 00 44 20 46 5F 3C 47.</t>
        </is>
      </c>
      <c r="I77" s="13" t="inlineStr">
        <is>
          <t>Chunk đúng layout/CRC; baseline ưu tiên hơn lệnh thường khi cùng pending.</t>
        </is>
      </c>
      <c r="J77" s="13" t="inlineStr">
        <is>
          <t>Serial 2 phía + sniffer.</t>
        </is>
      </c>
      <c r="K77" s="28" t="n"/>
      <c r="L77" s="28" t="n"/>
      <c r="M77" s="28" t="n"/>
      <c r="N77" s="13" t="inlineStr">
        <is>
          <t>[MỚI]</t>
        </is>
      </c>
    </row>
    <row r="78" ht="96" customHeight="1">
      <c r="A78" s="28" t="inlineStr">
        <is>
          <t>I</t>
        </is>
      </c>
      <c r="B78" s="28" t="inlineStr">
        <is>
          <t>TC-I04</t>
        </is>
      </c>
      <c r="C78" s="13" t="inlineStr">
        <is>
          <t>Node reassembly + commit (mask=0x07)</t>
        </is>
      </c>
      <c r="D78" s="28" t="inlineStr">
        <is>
          <t>IT</t>
        </is>
      </c>
      <c r="E78" s="28" t="inlineStr">
        <is>
          <t>Node↔GW</t>
        </is>
      </c>
      <c r="F78" s="13" t="inlineStr">
        <is>
          <t>Node nhận đủ chunk của 3 series.</t>
        </is>
      </c>
      <c r="G78" s="13" t="inlineStr">
        <is>
          <t>Các chunk 0x07 đến trong 1 burst (drain cửa sổ downlink).</t>
        </is>
      </c>
      <c r="H78" s="13" t="inlineStr">
        <is>
          <t>Node log 'Chunk series=.. seq=..' cho từng chunk; đủ điểm → 'Baseline committed (mask=0x07)' + lưu NVS.</t>
        </is>
      </c>
      <c r="I78" s="13" t="inlineStr">
        <is>
          <t>mask = 0x07; baseline_valid_mask()==0x07.</t>
        </is>
      </c>
      <c r="J78" s="13" t="inlineStr">
        <is>
          <t>Serial node.</t>
        </is>
      </c>
      <c r="K78" s="28" t="n"/>
      <c r="L78" s="28" t="n"/>
      <c r="M78" s="28" t="n"/>
      <c r="N78" s="13" t="inlineStr">
        <is>
          <t>[MỚI] BASELINE_MAX_CHUNKS=10, recv mask 16-bit, 10 điểm/chunk.</t>
        </is>
      </c>
    </row>
    <row r="79" ht="96" customHeight="1">
      <c r="A79" s="28" t="inlineStr">
        <is>
          <t>I</t>
        </is>
      </c>
      <c r="B79" s="28" t="inlineStr">
        <is>
          <t>TC-I05</t>
        </is>
      </c>
      <c r="C79" s="13" t="inlineStr">
        <is>
          <t>Node báo 0x08 → gateway publish baseline 'done'</t>
        </is>
      </c>
      <c r="D79" s="28" t="inlineStr">
        <is>
          <t>IT</t>
        </is>
      </c>
      <c r="E79" s="28" t="inlineStr">
        <is>
          <t>GW↔Server</t>
        </is>
      </c>
      <c r="F79" s="13" t="inlineStr">
        <is>
          <t>Node vừa commit series.</t>
        </is>
      </c>
      <c r="G79" s="13" t="inlineStr">
        <is>
          <t>Node gửi 0x08 cho từng series.</t>
        </is>
      </c>
      <c r="H79" s="13" t="inlineStr">
        <is>
          <t>Mỗi 0x08 → 1 publish irrigation/HCM/gw_01/node_01/baseline {status:done,series:n,version:v}; đủ 3 → gateway log 'baseline session fully delivered'.</t>
        </is>
      </c>
      <c r="I79" s="13" t="inlineStr">
        <is>
          <t>3 message 'done' với series 0,1,2.</t>
        </is>
      </c>
      <c r="J79" s="13" t="inlineStr">
        <is>
          <t>Script server.</t>
        </is>
      </c>
      <c r="K79" s="28" t="n"/>
      <c r="L79" s="28" t="n"/>
      <c r="M79" s="28" t="n"/>
      <c r="N79" s="13" t="inlineStr">
        <is>
          <t>[MỚI]</t>
        </is>
      </c>
    </row>
    <row r="80" ht="96" customHeight="1">
      <c r="A80" s="28" t="inlineStr">
        <is>
          <t>I</t>
        </is>
      </c>
      <c r="B80" s="28" t="inlineStr">
        <is>
          <t>TC-I06</t>
        </is>
      </c>
      <c r="C80" s="13" t="inlineStr">
        <is>
          <t>Server push bảng mới (version mới) — node KHÔNG cần xin lại</t>
        </is>
      </c>
      <c r="D80" s="28" t="inlineStr">
        <is>
          <t>System</t>
        </is>
      </c>
      <c r="E80" s="28" t="inlineStr">
        <is>
          <t>End-to-end</t>
        </is>
      </c>
      <c r="F80" s="13" t="inlineStr">
        <is>
          <t>Node đã có baseline v1 (không REQ nữa).</t>
        </is>
      </c>
      <c r="G80" s="13" t="inlineStr">
        <is>
          <t>Server publish set_baseline version=2 (1 hoặc 3 series).</t>
        </is>
      </c>
      <c r="H80" s="13" t="inlineStr">
        <is>
          <t>Gateway tạo phiên mới; ở uplink kế tiếp tự gửi chunk v2 mà node không hề REQ.</t>
        </is>
      </c>
      <c r="I80" s="13" t="inlineStr">
        <is>
          <t>Node commit v2; baseline_version()=2; không cần REQ.</t>
        </is>
      </c>
      <c r="J80" s="13" t="inlineStr">
        <is>
          <t>Serial 2 phía + script.</t>
        </is>
      </c>
      <c r="K80" s="28" t="n"/>
      <c r="L80" s="28" t="n"/>
      <c r="M80" s="28" t="n"/>
      <c r="N80" s="13" t="inlineStr">
        <is>
          <t>[MỚI] Push-only; thay cơ chế 'node periodic re-request' (đã bỏ).</t>
        </is>
      </c>
    </row>
    <row r="81" ht="96" customHeight="1">
      <c r="A81" s="28" t="inlineStr">
        <is>
          <t>I</t>
        </is>
      </c>
      <c r="B81" s="28" t="inlineStr">
        <is>
          <t>TC-I07</t>
        </is>
      </c>
      <c r="C81" s="13" t="inlineStr">
        <is>
          <t>Chunk version cũ (stale) bị bỏ qua</t>
        </is>
      </c>
      <c r="D81" s="28" t="inlineStr">
        <is>
          <t>System</t>
        </is>
      </c>
      <c r="E81" s="28" t="inlineStr">
        <is>
          <t>Node↔GW</t>
        </is>
      </c>
      <c r="F81" s="13" t="inlineStr">
        <is>
          <t>Node đã commit v2; gateway còn sót chunk v1.</t>
        </is>
      </c>
      <c r="G81" s="13" t="inlineStr">
        <is>
          <t>Đẩy chunk version=1 sau khi đã có v2.</t>
        </is>
      </c>
      <c r="H81" s="13" t="inlineStr">
        <is>
          <t>baseline_handle_chunk() bỏ qua chunk có version &lt; baseline_version(series); log tương ứng.</t>
        </is>
      </c>
      <c r="I81" s="13" t="inlineStr">
        <is>
          <t>Baseline không bị hạ version.</t>
        </is>
      </c>
      <c r="J81" s="13" t="inlineStr">
        <is>
          <t>Serial node.</t>
        </is>
      </c>
      <c r="K81" s="28" t="n"/>
      <c r="L81" s="28" t="n"/>
      <c r="M81" s="28" t="n"/>
      <c r="N81" s="13" t="inlineStr">
        <is>
          <t>[MỚI]</t>
        </is>
      </c>
    </row>
    <row r="82" ht="96" customHeight="1">
      <c r="A82" s="28" t="inlineStr">
        <is>
          <t>I</t>
        </is>
      </c>
      <c r="B82" s="28" t="inlineStr">
        <is>
          <t>TC-I08</t>
        </is>
      </c>
      <c r="C82" s="13" t="inlineStr">
        <is>
          <t>Node xin lại baseline khi NVS trống (REQ bit0)</t>
        </is>
      </c>
      <c r="D82" s="28" t="inlineStr">
        <is>
          <t>System</t>
        </is>
      </c>
      <c r="E82" s="28" t="inlineStr">
        <is>
          <t>Node↔GW</t>
        </is>
      </c>
      <c r="F82" s="13" t="inlineStr">
        <is>
          <t>NVS baseline trống; slot đã có (need_baseline=1, need_time=0).</t>
        </is>
      </c>
      <c r="G82" s="13" t="inlineStr">
        <is>
          <t>Boot node.</t>
        </is>
      </c>
      <c r="H82" s="13" t="inlineStr">
        <is>
          <t>Uplink REQ flags=0x01, mask=0x07 → gateway gửi chunk (không trả ACK rỗng).</t>
        </is>
      </c>
      <c r="I82" s="13" t="inlineStr">
        <is>
          <t>Node nhận đủ series và commit.</t>
        </is>
      </c>
      <c r="J82" s="13" t="inlineStr">
        <is>
          <t>Serial 2 phía.</t>
        </is>
      </c>
      <c r="K82" s="28" t="n"/>
      <c r="L82" s="28" t="n"/>
      <c r="M82" s="28" t="n"/>
      <c r="N82" s="13" t="inlineStr">
        <is>
          <t>[MỚI]</t>
        </is>
      </c>
    </row>
    <row r="83" ht="96" customHeight="1">
      <c r="A83" s="28" t="inlineStr">
        <is>
          <t>I</t>
        </is>
      </c>
      <c r="B83" s="28" t="inlineStr">
        <is>
          <t>TC-I09</t>
        </is>
      </c>
      <c r="C83" s="13" t="inlineStr">
        <is>
          <t>Rearm phiên khi node nhấn nút giữa lúc đang nhận chunk</t>
        </is>
      </c>
      <c r="D83" s="28" t="inlineStr">
        <is>
          <t>System</t>
        </is>
      </c>
      <c r="E83" s="28" t="inlineStr">
        <is>
          <t>End-to-end</t>
        </is>
      </c>
      <c r="F83" s="13" t="inlineStr">
        <is>
          <t>Node đang nhận dở; gateway còn session.</t>
        </is>
      </c>
      <c r="G83" s="13" t="inlineStr">
        <is>
          <t>Nhấn nút GPIO34 giữa chừng → node gửi REQ lần nữa.</t>
        </is>
      </c>
      <c r="H83" s="13" t="inlineStr">
        <is>
          <t>Gateway log 'Baseline re-armed for node 0x01'; gửi tiếp chunk còn thiếu.</t>
        </is>
      </c>
      <c r="I83" s="13" t="inlineStr">
        <is>
          <t>Cuối cùng commit đủ 3 series, không kẹt.</t>
        </is>
      </c>
      <c r="J83" s="13" t="inlineStr">
        <is>
          <t>Serial 2 phía.</t>
        </is>
      </c>
      <c r="K83" s="28" t="n"/>
      <c r="L83" s="28" t="n"/>
      <c r="M83" s="28" t="n"/>
      <c r="N83" s="13" t="inlineStr">
        <is>
          <t>[MỚI]</t>
        </is>
      </c>
    </row>
    <row r="84" ht="96" customHeight="1">
      <c r="A84" s="28" t="inlineStr">
        <is>
          <t>I</t>
        </is>
      </c>
      <c r="B84" s="28" t="inlineStr">
        <is>
          <t>TC-I10</t>
        </is>
      </c>
      <c r="C84" s="13" t="inlineStr">
        <is>
          <t>Safety cap ~15 phút khi server không trả baseline</t>
        </is>
      </c>
      <c r="D84" s="28" t="inlineStr">
        <is>
          <t>System</t>
        </is>
      </c>
      <c r="E84" s="28" t="inlineStr">
        <is>
          <t>Node</t>
        </is>
      </c>
      <c r="F84" s="13" t="inlineStr">
        <is>
          <t>NVS baseline trống; gateway/server KHÔNG gửi baseline.</t>
        </is>
      </c>
      <c r="G84" s="13" t="inlineStr">
        <is>
          <t>Để node tự chạy (REQ → nghe 30 s → lặp).</t>
        </is>
      </c>
      <c r="H84" s="13" t="inlineStr">
        <is>
          <t>Sau BOOT_SYNC_CAP_MS=15 phút: log 'Boot sync cap (900 s) reached - sleeping 5 min then retrying' rồi deep sleep 300 s.</t>
        </is>
      </c>
      <c r="I84" s="13" t="inlineStr">
        <is>
          <t>Vòng lặp không chạy vô hạn; node ngủ tạm đúng sau cap.</t>
        </is>
      </c>
      <c r="J84" s="13" t="inlineStr">
        <is>
          <t>Serial node (đo thời gian).</t>
        </is>
      </c>
      <c r="K84" s="28" t="n"/>
      <c r="L84" s="28" t="n"/>
      <c r="M84" s="28" t="n"/>
      <c r="N84" s="13" t="inlineStr">
        <is>
          <t>[MỚI]</t>
        </is>
      </c>
    </row>
    <row r="85" ht="96" customHeight="1">
      <c r="A85" s="28" t="inlineStr">
        <is>
          <t>I</t>
        </is>
      </c>
      <c r="B85" s="28" t="inlineStr">
        <is>
          <t>TC-I11</t>
        </is>
      </c>
      <c r="C85" s="13" t="inlineStr">
        <is>
          <t>Chunk ưu tiên hơn lệnh thường khi cùng pending</t>
        </is>
      </c>
      <c r="D85" s="28" t="inlineStr">
        <is>
          <t>IT</t>
        </is>
      </c>
      <c r="E85" s="28" t="inlineStr">
        <is>
          <t>GW</t>
        </is>
      </c>
      <c r="F85" s="13" t="inlineStr">
        <is>
          <t>Node vừa REQ baseline VÀ có lệnh trong cache.</t>
        </is>
      </c>
      <c r="G85" s="13" t="inlineStr">
        <is>
          <t>Một uplink duy nhất.</t>
        </is>
      </c>
      <c r="H85" s="13" t="inlineStr">
        <is>
          <t>ack_or_flush_node(): if baseline_pending → gửi chunk trước (BASELINE_CHUNKS_PER_FLUSH=3); lệnh thường gửi ở các cửa sổ kế tiếp.</t>
        </is>
      </c>
      <c r="I85" s="13" t="inlineStr">
        <is>
          <t>Chunk được gửi trước; không thất lạc lệnh.</t>
        </is>
      </c>
      <c r="J85" s="13" t="inlineStr">
        <is>
          <t>Serial gateway.</t>
        </is>
      </c>
      <c r="K85" s="28" t="n"/>
      <c r="L85" s="28" t="n"/>
      <c r="M85" s="28" t="n"/>
      <c r="N85" s="13" t="inlineStr">
        <is>
          <t>[MỚI]</t>
        </is>
      </c>
    </row>
    <row r="86" ht="96" customHeight="1">
      <c r="A86" s="28" t="inlineStr">
        <is>
          <t>I</t>
        </is>
      </c>
      <c r="B86" s="28" t="inlineStr">
        <is>
          <t>TC-I12</t>
        </is>
      </c>
      <c r="C86" s="13" t="inlineStr">
        <is>
          <t>Cấp baseline TUẦN TỰ từng node (không gửi ồ ạt)</t>
        </is>
      </c>
      <c r="D86" s="28" t="inlineStr">
        <is>
          <t>System</t>
        </is>
      </c>
      <c r="E86" s="28" t="inlineStr">
        <is>
          <t>GW↔Node</t>
        </is>
      </c>
      <c r="F86" s="13" t="inlineStr">
        <is>
          <t>2 node (0x01, 0x02) đều có NVS baseline TRỐNG; server push set_baseline (96 điểm × 3 series) cho CẢ HAI node trước khi cấp nguồn.</t>
        </is>
      </c>
      <c r="G86" s="13" t="inlineStr">
        <is>
          <t>Cấp nguồn cho cả 2 node (hoặc để cả 2 cùng thức).</t>
        </is>
      </c>
      <c r="H86" s="13" t="inlineStr">
        <is>
          <t>① Gateway log 'Baseline turn -&gt; node 0x01' ở uplink đầu tiên của node 0x01.
② Trong lúc node 0x01 nhận chunk, uplink của node 0x02 → gateway log 'Baseline turn held by node 0x01 - node 0x02 waits its turn' và CHỈ trả ACK rỗng cho node 0x02.
③ Node 0x01 xong (đủ 3 × 0x08) → 'Node 0x01 baseline session COMPLETE' + 'Baseline turn released' → 'Baseline turn -&gt; node 0x02'.
④ Node 0x02 bắt đầu nhận chunk từ đó.</t>
        </is>
      </c>
      <c r="I86" s="13" t="inlineStr">
        <is>
          <t>(1) Không có thời điểm nào 2 node cùng nhận chunk;
(2) node 0x02 chỉ nhận chunk SAU khi node 0x01 hoàn tất;
(3) nếu node 0x01 ngừng uplink &gt; 120 s thì lượt tự chuyển sang node 0x02 (BASELINE_TURN_TIMEOUT_MS).</t>
        </is>
      </c>
      <c r="J86" s="13" t="inlineStr">
        <is>
          <t>Serial gateway (log turn) + serial 2 node.</t>
        </is>
      </c>
      <c r="K86" s="28" t="n"/>
      <c r="L86" s="28" t="n"/>
      <c r="M86" s="28" t="n"/>
      <c r="N86" s="13" t="inlineStr">
        <is>
          <t>[MỚI] Bảng 96 điểm = 30 chunk/node → phải gửi tuần tự để không chiếm sóng của nhau.</t>
        </is>
      </c>
    </row>
    <row r="87" ht="96" customHeight="1">
      <c r="A87" s="28" t="inlineStr">
        <is>
          <t>J</t>
        </is>
      </c>
      <c r="B87" s="28" t="inlineStr">
        <is>
          <t>TC-J01</t>
        </is>
      </c>
      <c r="C87" s="13" t="inlineStr">
        <is>
          <t>Lệch &lt; tolerance → KHÔNG gửi (baseline gating)</t>
        </is>
      </c>
      <c r="D87" s="28" t="inlineStr">
        <is>
          <t>IT</t>
        </is>
      </c>
      <c r="E87" s="28" t="inlineStr">
        <is>
          <t>Node</t>
        </is>
      </c>
      <c r="F87" s="13" t="inlineStr">
        <is>
          <t>Node có baseline temp t=[0,32,95] y=[68,70,60]; slot=32 → nội suy = 70 (30°C).</t>
        </is>
      </c>
      <c r="G87" s="13" t="inlineStr">
        <is>
          <t>Nhiệt độ đo = 30°C (byte 70) ⇒ dev=0.</t>
        </is>
      </c>
      <c r="H87" s="13" t="inlineStr">
        <is>
          <t>Node KHÔNG gửi uplink; log send-decision 'base=0x00'.</t>
        </is>
      </c>
      <c r="I87" s="13" t="inlineStr">
        <is>
          <t>Không có data trong 1 chu kỳ (không tính heartbeat tới hạn).</t>
        </is>
      </c>
      <c r="J87" s="13" t="inlineStr">
        <is>
          <t>Serial node + script.</t>
        </is>
      </c>
      <c r="K87" s="28" t="n"/>
      <c r="L87" s="28" t="n"/>
      <c r="M87" s="28" t="n"/>
      <c r="N87" s="13" t="inlineStr">
        <is>
          <t>[MỚI]</t>
        </is>
      </c>
    </row>
    <row r="88" ht="96" customHeight="1">
      <c r="A88" s="28" t="inlineStr">
        <is>
          <t>J</t>
        </is>
      </c>
      <c r="B88" s="28" t="inlineStr">
        <is>
          <t>TC-J02</t>
        </is>
      </c>
      <c r="C88" s="13" t="inlineStr">
        <is>
          <t>Lệch &gt;= tolerance temp=1 → gửi</t>
        </is>
      </c>
      <c r="D88" s="28" t="inlineStr">
        <is>
          <t>IT</t>
        </is>
      </c>
      <c r="E88" s="28" t="inlineStr">
        <is>
          <t>Node</t>
        </is>
      </c>
      <c r="F88" s="13" t="inlineStr">
        <is>
          <t>Cùng baseline trên.</t>
        </is>
      </c>
      <c r="G88" s="13" t="inlineStr">
        <is>
          <t>Nhiệt độ đo = 31°C (byte 71) ⇒ dev=1.</t>
        </is>
      </c>
      <c r="H88" s="13" t="inlineStr">
        <is>
          <t>Log 'Baseline dev: series=0 slot=32 meas=71 exp=70 dev=1 tol=1' → gửi compact có bit temp.</t>
        </is>
      </c>
      <c r="I88" s="13" t="inlineStr">
        <is>
          <t>Có data mới với temp ≈ 31.</t>
        </is>
      </c>
      <c r="J88" s="13" t="inlineStr">
        <is>
          <t>Serial node + script.</t>
        </is>
      </c>
      <c r="K88" s="28" t="n"/>
      <c r="L88" s="28" t="n"/>
      <c r="M88" s="28" t="n"/>
      <c r="N88" s="13" t="inlineStr">
        <is>
          <t>[MỚI]</t>
        </is>
      </c>
    </row>
    <row r="89" ht="96" customHeight="1">
      <c r="A89" s="28" t="inlineStr">
        <is>
          <t>J</t>
        </is>
      </c>
      <c r="B89" s="28" t="inlineStr">
        <is>
          <t>TC-J03</t>
        </is>
      </c>
      <c r="C89" s="13" t="inlineStr">
        <is>
          <t>Lệch hum=2 / soil=2 → gửi</t>
        </is>
      </c>
      <c r="D89" s="28" t="inlineStr">
        <is>
          <t>IT</t>
        </is>
      </c>
      <c r="E89" s="28" t="inlineStr">
        <is>
          <t>Node</t>
        </is>
      </c>
      <c r="F89" s="13" t="inlineStr">
        <is>
          <t>Baseline có series hum/soil.</t>
        </is>
      </c>
      <c r="G89" s="13" t="inlineStr">
        <is>
          <t>hum lệch 2%; soil lệch 2%.</t>
        </is>
      </c>
      <c r="H89" s="13" t="inlineStr">
        <is>
          <t>Log 'Baseline dev: series=1 ...' và 'series=2 ...'; gửi compact bit tương ứng.</t>
        </is>
      </c>
      <c r="I89" s="13" t="inlineStr">
        <is>
          <t>Bằng ngưỡng (dev == tol) cũng kích gửi.</t>
        </is>
      </c>
      <c r="J89" s="13" t="inlineStr">
        <is>
          <t>Serial node.</t>
        </is>
      </c>
      <c r="K89" s="28" t="n"/>
      <c r="L89" s="28" t="n"/>
      <c r="M89" s="28" t="n"/>
      <c r="N89" s="13" t="inlineStr">
        <is>
          <t>[MỚI]</t>
        </is>
      </c>
    </row>
    <row r="90" ht="96" customHeight="1">
      <c r="A90" s="28" t="inlineStr">
        <is>
          <t>J</t>
        </is>
      </c>
      <c r="B90" s="28" t="inlineStr">
        <is>
          <t>TC-J04</t>
        </is>
      </c>
      <c r="C90" s="13" t="inlineStr">
        <is>
          <t>Nhiều series cùng vượt → presence OR</t>
        </is>
      </c>
      <c r="D90" s="28" t="inlineStr">
        <is>
          <t>IT</t>
        </is>
      </c>
      <c r="E90" s="28" t="inlineStr">
        <is>
          <t>Node</t>
        </is>
      </c>
      <c r="F90" s="13" t="inlineStr">
        <is>
          <t>Baseline 3 series.</t>
        </is>
      </c>
      <c r="G90" s="13" t="inlineStr">
        <is>
          <t>temp lệch 2°C và soil lệch 5% cùng lúc.</t>
        </is>
      </c>
      <c r="H90" s="13" t="inlineStr">
        <is>
          <t>Log 'base=0x05' (temp|soil); 1 compact chứa cả 2 field.</t>
        </is>
      </c>
      <c r="I90" s="13" t="inlineStr">
        <is>
          <t>1 data chứa cả temp và soil mới.</t>
        </is>
      </c>
      <c r="J90" s="13" t="inlineStr">
        <is>
          <t>Serial node + script.</t>
        </is>
      </c>
      <c r="K90" s="28" t="n"/>
      <c r="L90" s="28" t="n"/>
      <c r="M90" s="28" t="n"/>
      <c r="N90" s="13" t="inlineStr">
        <is>
          <t>[MỚI]</t>
        </is>
      </c>
    </row>
    <row r="91" ht="96" customHeight="1">
      <c r="A91" s="28" t="inlineStr">
        <is>
          <t>J</t>
        </is>
      </c>
      <c r="B91" s="28" t="inlineStr">
        <is>
          <t>TC-J05</t>
        </is>
      </c>
      <c r="C91" s="13" t="inlineStr">
        <is>
          <t>Không có baseline → gating OFF (hành vi delta cũ)</t>
        </is>
      </c>
      <c r="D91" s="28" t="inlineStr">
        <is>
          <t>IT</t>
        </is>
      </c>
      <c r="E91" s="28" t="inlineStr">
        <is>
          <t>Node</t>
        </is>
      </c>
      <c r="F91" s="13" t="inlineStr">
        <is>
          <t>NVS baseline trống và boot-sync bỏ qua (slot_valid=0 hoặc test mode).</t>
        </is>
      </c>
      <c r="G91" s="13" t="inlineStr">
        <is>
          <t>Chạy 1 chu kỳ.</t>
        </is>
      </c>
      <c r="H91" s="13" t="inlineStr">
        <is>
          <t>base=0x00; logic delta/threshold/heartbeat cũ quyết định gửi; không có log 'Baseline dev'.</t>
        </is>
      </c>
      <c r="I91" s="13" t="inlineStr">
        <is>
          <t>Không crash; gửi theo delta như trước.</t>
        </is>
      </c>
      <c r="J91" s="13" t="inlineStr">
        <is>
          <t>Serial node.</t>
        </is>
      </c>
      <c r="K91" s="28" t="n"/>
      <c r="L91" s="28" t="n"/>
      <c r="M91" s="28" t="n"/>
      <c r="N91" s="13" t="inlineStr">
        <is>
          <t>[MỚI]</t>
        </is>
      </c>
    </row>
    <row r="92" ht="96" customHeight="1">
      <c r="A92" s="28" t="inlineStr">
        <is>
          <t>J</t>
        </is>
      </c>
      <c r="B92" s="28" t="inlineStr">
        <is>
          <t>TC-J06</t>
        </is>
      </c>
      <c r="C92" s="13" t="inlineStr">
        <is>
          <t>Nội suy giữa 2 điểm</t>
        </is>
      </c>
      <c r="D92" s="28" t="inlineStr">
        <is>
          <t>IT</t>
        </is>
      </c>
      <c r="E92" s="28" t="inlineStr">
        <is>
          <t>Node (unit)</t>
        </is>
      </c>
      <c r="F92" s="13" t="inlineStr">
        <is>
          <t>Baseline t=[0,32,95] y=[68,70,60]; slot=16.</t>
        </is>
      </c>
      <c r="G92" s="13" t="inlineStr">
        <is>
          <t>Đọc log 'Baseline dev' để suy ra exp.</t>
        </is>
      </c>
      <c r="H92" s="13" t="inlineStr">
        <is>
          <t>exp = 69  (68 + (2×16+16)/32 = 69).</t>
        </is>
      </c>
      <c r="I92" s="13" t="inlineStr">
        <is>
          <t>log exp=69.</t>
        </is>
      </c>
      <c r="J92" s="13" t="inlineStr">
        <is>
          <t>Serial node.</t>
        </is>
      </c>
      <c r="K92" s="28" t="n"/>
      <c r="L92" s="28" t="n"/>
      <c r="M92" s="28" t="n"/>
      <c r="N92" s="13" t="inlineStr">
        <is>
          <t>[MỚI]</t>
        </is>
      </c>
    </row>
    <row r="93" ht="96" customHeight="1">
      <c r="A93" s="28" t="inlineStr">
        <is>
          <t>J</t>
        </is>
      </c>
      <c r="B93" s="28" t="inlineStr">
        <is>
          <t>TC-J07</t>
        </is>
      </c>
      <c r="C93" s="13" t="inlineStr">
        <is>
          <t>Nội suy dy âm</t>
        </is>
      </c>
      <c r="D93" s="28" t="inlineStr">
        <is>
          <t>IT</t>
        </is>
      </c>
      <c r="E93" s="28" t="inlineStr">
        <is>
          <t>Node (unit)</t>
        </is>
      </c>
      <c r="F93" s="13" t="inlineStr">
        <is>
          <t>Cùng baseline; slot=64.</t>
        </is>
      </c>
      <c r="G93" s="13" t="inlineStr">
        <is>
          <t>—</t>
        </is>
      </c>
      <c r="H93" s="13" t="inlineStr">
        <is>
          <t>dt=63, dx=32, dy=-10 → exp = 65 (làm tròn gần nhất).</t>
        </is>
      </c>
      <c r="I93" s="13" t="inlineStr">
        <is>
          <t>exp=65, không lệch ±1 do làm tròn âm.</t>
        </is>
      </c>
      <c r="J93" s="13" t="inlineStr">
        <is>
          <t>Serial node.</t>
        </is>
      </c>
      <c r="K93" s="28" t="n"/>
      <c r="L93" s="28" t="n"/>
      <c r="M93" s="28" t="n"/>
      <c r="N93" s="13" t="inlineStr">
        <is>
          <t>[MỚI]</t>
        </is>
      </c>
    </row>
    <row r="94" ht="96" customHeight="1">
      <c r="A94" s="28" t="inlineStr">
        <is>
          <t>J</t>
        </is>
      </c>
      <c r="B94" s="28" t="inlineStr">
        <is>
          <t>TC-J08</t>
        </is>
      </c>
      <c r="C94" s="13" t="inlineStr">
        <is>
          <t>Trùng đúng điểm mốc</t>
        </is>
      </c>
      <c r="D94" s="28" t="inlineStr">
        <is>
          <t>IT</t>
        </is>
      </c>
      <c r="E94" s="28" t="inlineStr">
        <is>
          <t>Node (unit)</t>
        </is>
      </c>
      <c r="F94" s="13" t="inlineStr">
        <is>
          <t>Cùng baseline; slot=32.</t>
        </is>
      </c>
      <c r="G94" s="13" t="inlineStr">
        <is>
          <t>—</t>
        </is>
      </c>
      <c r="H94" s="13" t="inlineStr">
        <is>
          <t>exp=70 (không nội suy).</t>
        </is>
      </c>
      <c r="I94" s="13" t="inlineStr">
        <is>
          <t>exp=70.</t>
        </is>
      </c>
      <c r="J94" s="13" t="inlineStr">
        <is>
          <t>Serial node.</t>
        </is>
      </c>
      <c r="K94" s="28" t="n"/>
      <c r="L94" s="28" t="n"/>
      <c r="M94" s="28" t="n"/>
      <c r="N94" s="13" t="inlineStr">
        <is>
          <t>[MỚI]</t>
        </is>
      </c>
    </row>
    <row r="95" ht="96" customHeight="1">
      <c r="A95" s="28" t="inlineStr">
        <is>
          <t>J</t>
        </is>
      </c>
      <c r="B95" s="28" t="inlineStr">
        <is>
          <t>TC-J09</t>
        </is>
      </c>
      <c r="C95" s="13" t="inlineStr">
        <is>
          <t>Kẹp biên — KHÔNG ngoại suy</t>
        </is>
      </c>
      <c r="D95" s="28" t="inlineStr">
        <is>
          <t>IT</t>
        </is>
      </c>
      <c r="E95" s="28" t="inlineStr">
        <is>
          <t>Node (unit)</t>
        </is>
      </c>
      <c r="F95" s="13" t="inlineStr">
        <is>
          <t>Cùng baseline.</t>
        </is>
      </c>
      <c r="G95" s="13" t="inlineStr">
        <is>
          <t>slot=0, 95 và 96.</t>
        </is>
      </c>
      <c r="H95" s="13" t="inlineStr">
        <is>
          <t>slot=0 → 68; slot=95 → 60; slot=96 → 60.</t>
        </is>
      </c>
      <c r="I95" s="13" t="inlineStr">
        <is>
          <t>Không có giá trị ngoài [60,70].</t>
        </is>
      </c>
      <c r="J95" s="13" t="inlineStr">
        <is>
          <t>Serial node.</t>
        </is>
      </c>
      <c r="K95" s="28" t="n"/>
      <c r="L95" s="28" t="n"/>
      <c r="M95" s="28" t="n"/>
      <c r="N95" s="13" t="inlineStr">
        <is>
          <t>[MỚI]</t>
        </is>
      </c>
    </row>
    <row r="96" ht="96" customHeight="1">
      <c r="A96" s="28" t="inlineStr">
        <is>
          <t>J</t>
        </is>
      </c>
      <c r="B96" s="28" t="inlineStr">
        <is>
          <t>TC-J10</t>
        </is>
      </c>
      <c r="C96" s="13" t="inlineStr">
        <is>
          <t>Làm tròn half-away-from-zero</t>
        </is>
      </c>
      <c r="D96" s="28" t="inlineStr">
        <is>
          <t>IT</t>
        </is>
      </c>
      <c r="E96" s="28" t="inlineStr">
        <is>
          <t>Node (unit)</t>
        </is>
      </c>
      <c r="F96" s="13" t="inlineStr">
        <is>
          <t>Baseline t=[0,2] y=[0,1].</t>
        </is>
      </c>
      <c r="G96" s="13" t="inlineStr">
        <is>
          <t>slot=1 → giá trị chính xác 0.5.</t>
        </is>
      </c>
      <c r="H96" s="13" t="inlineStr">
        <is>
          <t>exp=1 (0.5 → 1).</t>
        </is>
      </c>
      <c r="I96" s="13" t="inlineStr">
        <is>
          <t>exp=1, không phải 0.</t>
        </is>
      </c>
      <c r="J96" s="13" t="inlineStr">
        <is>
          <t>Serial node.</t>
        </is>
      </c>
      <c r="K96" s="28" t="n"/>
      <c r="L96" s="28" t="n"/>
      <c r="M96" s="28" t="n"/>
      <c r="N96" s="13" t="inlineStr">
        <is>
          <t>[MỚI]</t>
        </is>
      </c>
    </row>
    <row r="97" ht="96" customHeight="1">
      <c r="A97" s="28" t="inlineStr">
        <is>
          <t>J</t>
        </is>
      </c>
      <c r="B97" s="28" t="inlineStr">
        <is>
          <t>TC-J11</t>
        </is>
      </c>
      <c r="C97" s="13" t="inlineStr">
        <is>
          <t>dt=0 không chia 0</t>
        </is>
      </c>
      <c r="D97" s="28" t="inlineStr">
        <is>
          <t>IT</t>
        </is>
      </c>
      <c r="E97" s="28" t="inlineStr">
        <is>
          <t>Node (unit)</t>
        </is>
      </c>
      <c r="F97" s="13" t="inlineStr">
        <is>
          <t>Baseline 2 điểm cùng t: t=[10,10,20].</t>
        </is>
      </c>
      <c r="G97" s="13" t="inlineStr">
        <is>
          <t>slot=10.</t>
        </is>
      </c>
      <c r="H97" s="13" t="inlineStr">
        <is>
          <t>Trả giá trị điểm đầu; không chia 0.</t>
        </is>
      </c>
      <c r="I97" s="13" t="inlineStr">
        <is>
          <t>Node không crash/reboot.</t>
        </is>
      </c>
      <c r="J97" s="13" t="inlineStr">
        <is>
          <t>Serial node.</t>
        </is>
      </c>
      <c r="K97" s="28" t="n"/>
      <c r="L97" s="28" t="n"/>
      <c r="M97" s="28" t="n"/>
      <c r="N97" s="13" t="inlineStr">
        <is>
          <t>[MỚI]</t>
        </is>
      </c>
    </row>
    <row r="98" ht="96" customHeight="1">
      <c r="A98" s="31" t="inlineStr">
        <is>
          <t>K</t>
        </is>
      </c>
      <c r="B98" s="31" t="inlineStr">
        <is>
          <t>TC-K01</t>
        </is>
      </c>
      <c r="C98" s="27" t="inlineStr">
        <is>
          <t>Gateway kết nối HiveMQ Cloud (user/pass TLS) + publish online</t>
        </is>
      </c>
      <c r="D98" s="31" t="inlineStr">
        <is>
          <t>System</t>
        </is>
      </c>
      <c r="E98" s="31" t="inlineStr">
        <is>
          <t>HiveMQ↔GW</t>
        </is>
      </c>
      <c r="F98" s="27" t="inlineStr">
        <is>
          <t>① Broker HiveMQ Cloud; user/pass đúng.
② config gateway: mqtt_broker_type = MQTT_BROKER_HIVEMQ (0), mqtt_uri = mqtts://d246c46a2ebe40d2ae0c787f92bfdbab.s1.eu.hivemq.cloud, port 8883, client_id = gw-01.
③ ĐÃ erase NVS sau khi đổi config (giá trị NVS cũ sẽ ghi đè default).
④ mosquitto_sub subscribe irrigation/HCM/gw_01/#.</t>
        </is>
      </c>
      <c r="G98" s="27" t="inlineStr">
        <is>
          <t>Cấp nguồn gateway.</t>
        </is>
      </c>
      <c r="H98" s="27" t="inlineStr">
        <is>
          <t>① Serial: 'MQTT Broker Type: 0 (HiveMQ (user/pass))' → 'Using MQTT broker with username/password auth' → 'MQTT connected to broker'.
② Publish irrigation/HCM/gw_01/status = {"status":"online","version":"1.0.0"} trong &lt; 60 s.
③ Subscribe OK filter irrigation/HCM/gw_01/+/cmd.</t>
        </is>
      </c>
      <c r="I98" s="27" t="inlineStr">
        <is>
          <t>(1) connected &lt; 60 s; (2) thấy status online; (3) không log lỗi TLS.</t>
        </is>
      </c>
      <c r="J98" s="27" t="inlineStr">
        <is>
          <t>mosquitto_sub + serial gateway.</t>
        </is>
      </c>
      <c r="K98" s="31" t="n"/>
      <c r="L98" s="31" t="n"/>
      <c r="M98" s="31" t="n"/>
      <c r="N98" s="27" t="inlineStr">
        <is>
          <t>[ĐỔI] Thay nhóm AWS cũ. HiveMQ là broker chính, KHÔNG cần partition 'certs'.</t>
        </is>
      </c>
    </row>
    <row r="99" ht="96" customHeight="1">
      <c r="A99" s="29" t="inlineStr">
        <is>
          <t>K</t>
        </is>
      </c>
      <c r="B99" s="29" t="inlineStr">
        <is>
          <t>TC-K02</t>
        </is>
      </c>
      <c r="C99" s="30" t="inlineStr">
        <is>
          <t>Data node 0x01 tới HiveMQ (end-to-end)</t>
        </is>
      </c>
      <c r="D99" s="29" t="inlineStr">
        <is>
          <t>System</t>
        </is>
      </c>
      <c r="E99" s="29" t="inlineStr">
        <is>
          <t>HiveMQ↔GW↔Node</t>
        </is>
      </c>
      <c r="F99" s="30" t="inlineStr">
        <is>
          <t>Gateway online trên HiveMQ; node đã có slot + baseline.</t>
        </is>
      </c>
      <c r="G99" s="30" t="inlineStr">
        <is>
          <t>Nhấn nút GPIO34 trên node (ép 1 uplink), hoặc publish {"cmd":"report"}.</t>
        </is>
      </c>
      <c r="H99" s="30" t="inlineStr">
        <is>
          <t>mosquitto_sub nhận irrigation/HCM/gw_01/node_01/data = JSON schema data (node,soil,temp,hum,pump,battery,threshold_exceeded,timestamp).</t>
        </is>
      </c>
      <c r="I99" s="30" t="inlineStr">
        <is>
          <t>Schema 'data' hợp lệ (--check-schema data).</t>
        </is>
      </c>
      <c r="J99" s="30" t="inlineStr">
        <is>
          <t>mosquitto_sub / mqtt_server_sim.py.</t>
        </is>
      </c>
      <c r="K99" s="29" t="n"/>
      <c r="L99" s="29" t="n"/>
      <c r="M99" s="29" t="n"/>
      <c r="N99" s="30" t="inlineStr">
        <is>
          <t>Smoke test trước khi test logic mới.</t>
        </is>
      </c>
    </row>
    <row r="100" ht="96" customHeight="1">
      <c r="A100" s="31" t="inlineStr">
        <is>
          <t>K</t>
        </is>
      </c>
      <c r="B100" s="31" t="inlineStr">
        <is>
          <t>TC-K03</t>
        </is>
      </c>
      <c r="C100" s="27" t="inlineStr">
        <is>
          <t>LWT offline khi gateway mất kết nối HiveMQ</t>
        </is>
      </c>
      <c r="D100" s="31" t="inlineStr">
        <is>
          <t>System</t>
        </is>
      </c>
      <c r="E100" s="31" t="inlineStr">
        <is>
          <t>HiveMQ↔GW</t>
        </is>
      </c>
      <c r="F100" s="27" t="inlineStr">
        <is>
          <t>Gateway đang online trên HiveMQ.</t>
        </is>
      </c>
      <c r="G100" s="27" t="inlineStr">
        <is>
          <t>Tắt nguồn gateway (hoặc ngắt WiFi), chờ ~1–2 phút.</t>
        </is>
      </c>
      <c r="H100" s="27" t="inlineStr">
        <is>
          <t>Broker phát Last Will irrigation/HCM/gw_01/status = {"status":"offline"}.</t>
        </is>
      </c>
      <c r="I100" s="27" t="inlineStr">
        <is>
          <t>mosquitto_sub nhận 'offline' trong &lt;= ~90 s.</t>
        </is>
      </c>
      <c r="J100" s="27" t="inlineStr">
        <is>
          <t>mosquitto_sub.</t>
        </is>
      </c>
      <c r="K100" s="31" t="n"/>
      <c r="L100" s="31" t="n"/>
      <c r="M100" s="31" t="n"/>
      <c r="N100" s="27" t="inlineStr">
        <is>
          <t>Thời gian phụ thuộc keepalive của HiveMQ.</t>
        </is>
      </c>
    </row>
    <row r="101" ht="96" customHeight="1">
      <c r="A101" s="29" t="inlineStr">
        <is>
          <t>K</t>
        </is>
      </c>
      <c r="B101" s="29" t="inlineStr">
        <is>
          <t>TC-K04</t>
        </is>
      </c>
      <c r="C101" s="30" t="inlineStr">
        <is>
          <t>Heartbeat 60 s + field trạng thái trên HiveMQ</t>
        </is>
      </c>
      <c r="D101" s="29" t="inlineStr">
        <is>
          <t>System</t>
        </is>
      </c>
      <c r="E101" s="29" t="inlineStr">
        <is>
          <t>HiveMQ↔GW</t>
        </is>
      </c>
      <c r="F101" s="30" t="inlineStr">
        <is>
          <t>Gateway online.</t>
        </is>
      </c>
      <c r="G101" s="30" t="inlineStr">
        <is>
          <t>Chờ &gt;= 130 s, quan sát irrigation/HCM/gw_01/status.</t>
        </is>
      </c>
      <c r="H101" s="30" t="inlineStr">
        <is>
          <t>&gt;= 2 message {"status":"online","nodes_registered":N,"commands_cached":M,"uptime_seconds":&lt;tăng&gt;,"version","site":"HCM","gateway_id":"gw_01"} cách ~60 s.</t>
        </is>
      </c>
      <c r="I101" s="30" t="inlineStr">
        <is>
          <t>2 heartbeat cách ~60 s; uptime tăng; commands_cached khớp log gateway.</t>
        </is>
      </c>
      <c r="J101" s="30" t="inlineStr">
        <is>
          <t>mosquitto_sub + serial gateway.</t>
        </is>
      </c>
      <c r="K101" s="29" t="n"/>
      <c r="L101" s="29" t="n"/>
      <c r="M101" s="29" t="n"/>
      <c r="N101" s="30" t="inlineStr">
        <is>
          <t>-</t>
        </is>
      </c>
    </row>
    <row r="102" ht="96" customHeight="1">
      <c r="A102" s="31" t="inlineStr">
        <is>
          <t>K</t>
        </is>
      </c>
      <c r="B102" s="31" t="inlineStr">
        <is>
          <t>TC-K05</t>
        </is>
      </c>
      <c r="C102" s="27" t="inlineStr">
        <is>
          <t>sync_slot qua HiveMQ → mọi downlink mang slot (7 byte)</t>
        </is>
      </c>
      <c r="D102" s="31" t="inlineStr">
        <is>
          <t>System</t>
        </is>
      </c>
      <c r="E102" s="31" t="inlineStr">
        <is>
          <t>HiveMQ↔GW↔Node</t>
        </is>
      </c>
      <c r="F102" s="27" t="inlineStr">
        <is>
          <t>Gateway + node online; mosquitto_sub nghe irrigation/HCM/gw_01/node_01/data.</t>
        </is>
      </c>
      <c r="G102" s="27" t="inlineStr">
        <is>
          <t>mosquitto_pub -t irrigation/HCM/gw_01/node_FF/cmd -m '{"cmd":"sync_slot","slot_ms":900000}'
rồi nhấn nút GPIO34 để node uplink.</t>
        </is>
      </c>
      <c r="H102" s="27" t="inlineStr">
        <is>
          <t>① Gateway log 'Server sync_slot: base reset to 0'.
② Downlink kế tiếp là frame 7 byte có slot nhỏ: 'NN 05 09 00 00 &lt;slot&gt; &lt;crc&gt;'.
③ Node log 'Slot synced/updated'.</t>
        </is>
      </c>
      <c r="I102" s="27" t="inlineStr">
        <is>
          <t>(1) gateway KHÔNG publish gì cho sync_slot; (2) frame 7 byte, CRC đúng; (3) node nhận slot mới.</t>
        </is>
      </c>
      <c r="J102" s="27" t="inlineStr">
        <is>
          <t>Serial gateway + node.</t>
        </is>
      </c>
      <c r="K102" s="31" t="n"/>
      <c r="L102" s="31" t="n"/>
      <c r="M102" s="31" t="n"/>
      <c r="N102" s="27" t="inlineStr">
        <is>
          <t>[LOGIC MỚI] Trục slot 96×15 phút.</t>
        </is>
      </c>
    </row>
    <row r="103" ht="96" customHeight="1">
      <c r="A103" s="29" t="inlineStr">
        <is>
          <t>K</t>
        </is>
      </c>
      <c r="B103" s="29" t="inlineStr">
        <is>
          <t>TC-K06</t>
        </is>
      </c>
      <c r="C103" s="30" t="inlineStr">
        <is>
          <t>Cấp baseline 3 series qua HiveMQ (schema mới) — end-to-end</t>
        </is>
      </c>
      <c r="D103" s="29" t="inlineStr">
        <is>
          <t>System</t>
        </is>
      </c>
      <c r="E103" s="29" t="inlineStr">
        <is>
          <t>End-to-end</t>
        </is>
      </c>
      <c r="F103" s="30" t="inlineStr">
        <is>
          <t>Node NVS baseline TRỐNG; gateway online; mosquitto_sub nghe irrigation/HCM/gw_01/node_01/baseline.</t>
        </is>
      </c>
      <c r="G103" s="30" t="inlineStr">
        <is>
          <t>mosquitto_pub -t irrigation/HCM/gw_01/node_01/cmd -m '{"cmd":"set_baseline","version":1,"series":[[[0,68],[32,70],[95,60]],[[0,60],[32,65],[95,80]],[[0,40],[32,45],[95,55]]]}'
rồi cold-boot node (hoặc nhấn nút để REQ).</t>
        </is>
      </c>
      <c r="H103" s="30" t="inlineStr">
        <is>
          <t>① Gateway log 'Baseline accepted: node 0x01 series=0/1/2 v1' + 'set_baseline table: ... 3 series stored'.
② Gateway gửi chunk 0x07 (3 chunk/lần flush) khi node REQ/uplink.
③ Node log 'Baseline committed (mask=0x07)' + gửi 0x08 ×3.
④ HiveMQ nhận 3 message irrigation/HCM/gw_01/node_01/baseline {"status":"done","series":0/1/2}.</t>
        </is>
      </c>
      <c r="I103" s="30" t="inlineStr">
        <is>
          <t>(1) đủ 3 'request'/'done'; (2) node chạy bình thường sau đó; (3) không cần node xin lại.</t>
        </is>
      </c>
      <c r="J103" s="30" t="inlineStr">
        <is>
          <t>mosquitto_sub + serial 2 phía.</t>
        </is>
      </c>
      <c r="K103" s="29" t="n"/>
      <c r="L103" s="29" t="n"/>
      <c r="M103" s="29" t="n"/>
      <c r="N103" s="30" t="inlineStr">
        <is>
          <t>[LOGIC MỚI] Push-only, chunk 0x07/0x08/0x09.</t>
        </is>
      </c>
    </row>
    <row r="104" ht="96" customHeight="1">
      <c r="A104" s="31" t="inlineStr">
        <is>
          <t>K</t>
        </is>
      </c>
      <c r="B104" s="31" t="inlineStr">
        <is>
          <t>TC-K07</t>
        </is>
      </c>
      <c r="C104" s="27" t="inlineStr">
        <is>
          <t>Broker outage + reconnect — node KHÔNG báo GW lost, cache-first vẫn gửi</t>
        </is>
      </c>
      <c r="D104" s="31" t="inlineStr">
        <is>
          <t>System</t>
        </is>
      </c>
      <c r="E104" s="31" t="inlineStr">
        <is>
          <t>End-to-end</t>
        </is>
      </c>
      <c r="F104" s="27" t="inlineStr">
        <is>
          <t>Gateway + node online.</t>
        </is>
      </c>
      <c r="G104" s="27" t="inlineStr">
        <is>
          <t>① Ngắt HiveMQ 60–120 s.
② Trong lúc outage: nhấn nút GPIO34 cho node uplink.
③ Publish lệnh {"cmd":"toggle"} ngay sau khi broker trở lại.</t>
        </is>
      </c>
      <c r="H104" s="27" t="inlineStr">
        <is>
          <t>① Trong outage node vẫn nhận ACK rỗng qua LoRa → KHÔNG tăng gatewayLostCount, không alarm 0x05.
② Gateway log 'MQTT disconnected from broker' rồi tự 'MQTT connected to broker' + publish online.
③ Lệnh toggle được cache và gửi khi node uplink kế tiếp; node ACK 0x03.</t>
        </is>
      </c>
      <c r="I104" s="27" t="inlineStr">
        <is>
          <t>(1) node không báo GW lost; (2) reconnect tự động &lt; 60 s; (3) lệnh không mất, có ACK.</t>
        </is>
      </c>
      <c r="J104" s="27" t="inlineStr">
        <is>
          <t>mosquitto_sub + serial 2 phía.</t>
        </is>
      </c>
      <c r="K104" s="31" t="n"/>
      <c r="L104" s="31" t="n"/>
      <c r="M104" s="31" t="n"/>
      <c r="N104" s="27" t="inlineStr">
        <is>
          <t>[LOGIC MỚI] Cache-first + empty ACK mọi uplink. Lưu ý: data phát sinh trong outage bị DROP (không buffer).</t>
        </is>
      </c>
    </row>
    <row r="105" ht="96" customHeight="1">
      <c r="A105" s="29" t="inlineStr">
        <is>
          <t>K</t>
        </is>
      </c>
      <c r="B105" s="29" t="inlineStr">
        <is>
          <t>TC-K08</t>
        </is>
      </c>
      <c r="C105" s="30" t="inlineStr">
        <is>
          <t>Sai username/password → connect fail, gateway không treo (negative)</t>
        </is>
      </c>
      <c r="D105" s="29" t="inlineStr">
        <is>
          <t>Negative</t>
        </is>
      </c>
      <c r="E105" s="29" t="inlineStr">
        <is>
          <t>HiveMQ↔GW</t>
        </is>
      </c>
      <c r="F105" s="30" t="inlineStr">
        <is>
          <t>Đổi tạm mqtt_password sai trong config.c rồi flash lại (hoặc erase NVS + sửa default).</t>
        </is>
      </c>
      <c r="G105" s="30" t="inlineStr">
        <is>
          <t>Cấp nguồn gateway với credential sai.</t>
        </is>
      </c>
      <c r="H105" s="30" t="inlineStr">
        <is>
          <t>Gateway log lỗi TLS/MQTT (bad username/password) và retry; KHÔNG publish được status.
LoRa vẫn hoạt động: node uplink vẫn được ACK rỗng.</t>
        </is>
      </c>
      <c r="I105" s="30" t="inlineStr">
        <is>
          <t>Không có message nào tới HiveMQ; gateway không treo; node không bị GW lost.</t>
        </is>
      </c>
      <c r="J105" s="30" t="inlineStr">
        <is>
          <t>Serial gateway + mosquitto_sub.</t>
        </is>
      </c>
      <c r="K105" s="29" t="n"/>
      <c r="L105" s="29" t="n"/>
      <c r="M105" s="29" t="n"/>
      <c r="N105" s="30" t="inlineStr">
        <is>
          <t>[ĐỔI] Thay negative 'AWS policy thiếu quyền' bằng sai credential.</t>
        </is>
      </c>
    </row>
  </sheetData>
  <autoFilter ref="A1:N105"/>
  <conditionalFormatting sqref="K2:K105">
    <cfRule type="cellIs" priority="1" operator="equal" dxfId="0">
      <formula>"Pass"</formula>
    </cfRule>
    <cfRule type="cellIs" priority="2" operator="equal" dxfId="1">
      <formula>"Fail"</formula>
    </cfRule>
    <cfRule type="cellIs" priority="3" operator="equal" dxfId="2">
      <formula>"Blocked"</formula>
    </cfRule>
  </conditionalFormatting>
  <dataValidations count="1">
    <dataValidation sqref="K2:K105" showDropDown="0" showInputMessage="0" showErrorMessage="0" allowBlank="1" errorTitle="Giá trị không hợp lệ" error="Chọn: Pass / Fail / Blocked / Not run" type="list">
      <formula1>"Pass,Fail,Blocked,Not run"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E26"/>
  <sheetViews>
    <sheetView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0" customWidth="1" min="3" max="3"/>
    <col width="40" customWidth="1" min="4" max="4"/>
    <col width="20" customWidth="1" min="5" max="5"/>
  </cols>
  <sheetData>
    <row r="2">
      <c r="B2" s="1" t="inlineStr">
        <is>
          <t>Phụ lục — Cách verify / CRC mẫu / quy ước</t>
        </is>
      </c>
    </row>
    <row r="4">
      <c r="A4" s="3" t="n"/>
      <c r="B4" s="3" t="inlineStr">
        <is>
          <t>Loại</t>
        </is>
      </c>
      <c r="C4" s="3" t="inlineStr">
        <is>
          <t>Cách</t>
        </is>
      </c>
      <c r="D4" s="3" t="inlineStr">
        <is>
          <t>Tool</t>
        </is>
      </c>
    </row>
    <row r="5">
      <c r="B5" s="33" t="inlineStr">
        <is>
          <t>byte-level LoRa</t>
        </is>
      </c>
      <c r="C5" s="33" t="inlineStr">
        <is>
          <t>serial monitor gateway + node</t>
        </is>
      </c>
      <c r="D5" s="33" t="inlineStr">
        <is>
          <t>idf.py monitor</t>
        </is>
      </c>
    </row>
    <row r="6">
      <c r="B6" s="33" t="inlineStr">
        <is>
          <t>MQTT payload</t>
        </is>
      </c>
      <c r="C6" s="33" t="inlineStr">
        <is>
          <t>script listen / check-schema</t>
        </is>
      </c>
      <c r="D6" s="33" t="inlineStr">
        <is>
          <t>mqtt_server_sim.py</t>
        </is>
      </c>
    </row>
    <row r="7">
      <c r="B7" s="33" t="inlineStr">
        <is>
          <t>MQTT suite + report</t>
        </is>
      </c>
      <c r="C7" s="33" t="inlineStr">
        <is>
          <t>--suite file.json → PASS/FAIL</t>
        </is>
      </c>
      <c r="D7" s="33" t="inlineStr">
        <is>
          <t>mqtt_server_sim.py</t>
        </is>
      </c>
    </row>
    <row r="8">
      <c r="B8" s="33" t="inlineStr">
        <is>
          <t>trạng thái gw</t>
        </is>
      </c>
      <c r="C8" s="33" t="inlineStr">
        <is>
          <t>nodes_registered / commands_cached / uptime</t>
        </is>
      </c>
      <c r="D8" s="33" t="inlineStr">
        <is>
          <t>script</t>
        </is>
      </c>
    </row>
    <row r="9">
      <c r="B9" s="33" t="inlineStr">
        <is>
          <t>AWS</t>
        </is>
      </c>
      <c r="C9" s="33" t="inlineStr">
        <is>
          <t>AWS Console → IoT Core → MQTT test client</t>
        </is>
      </c>
      <c r="D9" s="33" t="inlineStr">
        <is>
          <t>AWS MQTT test client</t>
        </is>
      </c>
    </row>
    <row r="11">
      <c r="B11" s="2" t="inlineStr">
        <is>
          <t>CRC8 (XOR) — mẫu frame HIỆN TẠI (7 byte có slot):</t>
        </is>
      </c>
    </row>
    <row r="12">
      <c r="A12" s="3" t="n"/>
      <c r="B12" s="3" t="inlineStr">
        <is>
          <t>Hex bytes (trước CRC)</t>
        </is>
      </c>
      <c r="C12" s="3" t="inlineStr">
        <is>
          <t>CRC</t>
        </is>
      </c>
    </row>
    <row r="13">
      <c r="B13" s="33" t="inlineStr">
        <is>
          <t>01 05 04 14 50 20</t>
        </is>
      </c>
      <c r="C13" s="33" t="inlineStr">
        <is>
          <t>0x20</t>
        </is>
      </c>
      <c r="D13" s="33" t="inlineStr">
        <is>
          <t>set_threshold(20,80) node1 slot32</t>
        </is>
      </c>
    </row>
    <row r="14">
      <c r="B14" s="33" t="inlineStr">
        <is>
          <t>01 05 03 00 00 20</t>
        </is>
      </c>
      <c r="C14" s="33" t="inlineStr">
        <is>
          <t>0x20</t>
        </is>
      </c>
      <c r="D14" s="33" t="inlineStr">
        <is>
          <t>off node1 slot32</t>
        </is>
      </c>
    </row>
    <row r="15">
      <c r="B15" s="33" t="inlineStr">
        <is>
          <t>01 05 07 00 00 20</t>
        </is>
      </c>
      <c r="C15" s="33" t="inlineStr">
        <is>
          <t>0x20</t>
        </is>
      </c>
      <c r="D15" s="33" t="inlineStr">
        <is>
          <t>toggle node1 slot32</t>
        </is>
      </c>
    </row>
    <row r="16">
      <c r="B16" s="33" t="inlineStr">
        <is>
          <t>02 05 09 00 00 20</t>
        </is>
      </c>
      <c r="C16" s="33" t="inlineStr">
        <is>
          <t>0x20</t>
        </is>
      </c>
      <c r="D16" s="33" t="inlineStr">
        <is>
          <t>ACK rỗng node2 slot32</t>
        </is>
      </c>
    </row>
    <row r="17">
      <c r="B17" s="33" t="inlineStr">
        <is>
          <t>FF 05 09 00 00 00</t>
        </is>
      </c>
      <c r="C17" s="33" t="inlineStr">
        <is>
          <t>0x00</t>
        </is>
      </c>
      <c r="D17" s="33" t="inlineStr">
        <is>
          <t>broadcast t=0</t>
        </is>
      </c>
    </row>
    <row r="18">
      <c r="B18" s="33" t="inlineStr">
        <is>
          <t>01 01 00 32 44 41 55</t>
        </is>
      </c>
      <c r="C18" s="33" t="inlineStr">
        <is>
          <t>0x55</t>
        </is>
      </c>
      <c r="D18" s="33" t="inlineStr">
        <is>
          <t>uplink data 8B node1</t>
        </is>
      </c>
    </row>
    <row r="19">
      <c r="B19" s="33" t="inlineStr">
        <is>
          <t>01 04 01 01 00 00 FF</t>
        </is>
      </c>
      <c r="C19" s="33" t="inlineStr">
        <is>
          <t>0xFF</t>
        </is>
      </c>
      <c r="D19" s="33" t="inlineStr">
        <is>
          <t>uplink alarm code1</t>
        </is>
      </c>
    </row>
    <row r="20">
      <c r="B20" s="33" t="inlineStr">
        <is>
          <t>02 09 03 07 00 00 00</t>
        </is>
      </c>
      <c r="C20" s="33" t="inlineStr">
        <is>
          <t>0x00</t>
        </is>
      </c>
      <c r="D20" s="33" t="inlineStr">
        <is>
          <t>REQ baseline+time node2</t>
        </is>
      </c>
    </row>
    <row r="21">
      <c r="B21" s="33" t="inlineStr">
        <is>
          <t>02 08 00 01 00 00 00</t>
        </is>
      </c>
      <c r="C21" s="33" t="inlineStr">
        <is>
          <t>0x00</t>
        </is>
      </c>
      <c r="D21" s="33" t="inlineStr">
        <is>
          <t>BASELINE_DONE series0 v1</t>
        </is>
      </c>
    </row>
    <row r="23">
      <c r="B23" t="inlineStr">
        <is>
          <t>• Nhiệt độ: luôn dùng wire byte (nhiệt độ + 40) khi khai báo input.</t>
        </is>
      </c>
    </row>
    <row r="24">
      <c r="B24" t="inlineStr">
        <is>
          <t>• CRC8 = XOR toàn bộ byte trước byte CRC (xem gateway_irr/main/crc.c, node_irr/main/crc.c).</t>
        </is>
      </c>
    </row>
    <row r="25">
      <c r="B25" t="inlineStr">
        <is>
          <t>• Slot hiện tại lấy từ gateway (log downlink gần nhất / slot_current()).</t>
        </is>
      </c>
    </row>
    <row r="26">
      <c r="B26" t="inlineStr">
        <is>
          <t>• Nguồn: gateway_irr/docs/TEST_CASES.md, test/BASELINE_TEST_CASES.md, MAPPING_GIAO_THUC_MQTT.md, main/*.c của cả 2 firmware.</t>
        </is>
      </c>
    </row>
  </sheetData>
  <mergeCells count="5">
    <mergeCell ref="B26:E26"/>
    <mergeCell ref="B23:E23"/>
    <mergeCell ref="B25:E25"/>
    <mergeCell ref="B24:E24"/>
    <mergeCell ref="B2:E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E20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46" customWidth="1" min="3" max="3"/>
    <col width="78" customWidth="1" min="4" max="4"/>
    <col width="10" customWidth="1" min="5" max="5"/>
  </cols>
  <sheetData>
    <row r="2">
      <c r="B2" s="1" t="inlineStr">
        <is>
          <t>Nhật ký cập nhật bộ test case theo firmware hiện tại</t>
        </is>
      </c>
    </row>
    <row r="4">
      <c r="A4" s="3" t="n"/>
      <c r="B4" s="3" t="inlineStr">
        <is>
          <t>Hành động</t>
        </is>
      </c>
      <c r="C4" s="3" t="inlineStr">
        <is>
          <t>Đối tượng</t>
        </is>
      </c>
      <c r="D4" s="3" t="inlineStr">
        <is>
          <t>Lý do / thay đổi</t>
        </is>
      </c>
    </row>
    <row r="5">
      <c r="B5" s="23" t="inlineStr">
        <is>
          <t>BỎ / GỘP</t>
        </is>
      </c>
      <c r="C5" s="27" t="inlineStr">
        <is>
          <t>TC-C03 cũ: node offline sau 180 s</t>
        </is>
      </c>
      <c r="D5" s="27" t="inlineStr">
        <is>
          <t>Timeout không còn cố định 180 s. Nay suy ra từ sleep_interval × (HEARTBEAT_CYCLES+1) × 2 (= 3600 s với 300 s/5 chu kỳ) → xem TC-C05.</t>
        </is>
      </c>
    </row>
    <row r="6">
      <c r="B6" s="23" t="inlineStr">
        <is>
          <t>BỎ / ĐỔI</t>
        </is>
      </c>
      <c r="C6" s="27" t="inlineStr">
        <is>
          <t>TC-D02 cũ: set_interval đổi chu kỳ ngủ</t>
        </is>
      </c>
      <c r="D6" s="27" t="inlineStr">
        <is>
          <t>Node bỏ qua set_interval (chu kỳ cố định 300 s để khớp slot 15 phút) → xem TC-D02 mới.</t>
        </is>
      </c>
    </row>
    <row r="7">
      <c r="B7" s="23" t="inlineStr">
        <is>
          <t>BỎ / ĐỔI</t>
        </is>
      </c>
      <c r="C7" s="27" t="inlineStr">
        <is>
          <t>TC-D10 cũ: retry backoff 1/2/4/8/16 s chủ động</t>
        </is>
      </c>
      <c r="D7" s="27" t="inlineStr">
        <is>
          <t>Chuyển sang cache-first: ACK timeout 3 s, re-flush ở uplink kế, tối đa MAX_RETRY=5 rồi drop.</t>
        </is>
      </c>
    </row>
    <row r="8">
      <c r="B8" s="23" t="inlineStr">
        <is>
          <t>BỎ / ĐỔI</t>
        </is>
      </c>
      <c r="C8" s="27" t="inlineStr">
        <is>
          <t>TC-E03 cũ: schedule dùng epoch/time()</t>
        </is>
      </c>
      <c r="D8" s="27" t="inlineStr">
        <is>
          <t>Schedule nay thuần slot: target_t=(h*60+m)/15, catch-up 1 slot, 1 lần/ngày theo slotDay.</t>
        </is>
      </c>
    </row>
    <row r="9">
      <c r="B9" s="23" t="inlineStr">
        <is>
          <t>BỎ / ĐỔI</t>
        </is>
      </c>
      <c r="C9" s="27" t="inlineStr">
        <is>
          <t>Downlink 6 byte trong mọi test case</t>
        </is>
      </c>
      <c r="D9" s="27" t="inlineStr">
        <is>
          <t>Protocol v2 = 7 byte (thêm byte slot). Mọi ví dụ downlink đã cập nhật.</t>
        </is>
      </c>
    </row>
    <row r="10">
      <c r="B10" s="23" t="inlineStr">
        <is>
          <t>BỎ</t>
        </is>
      </c>
      <c r="C10" s="27" t="inlineStr">
        <is>
          <t>Giả định 'node tự xin lại baseline định kỳ'</t>
        </is>
      </c>
      <c r="D10" s="27" t="inlineStr">
        <is>
          <t>Push-only: server đẩy bảng mới (version mới) → gateway tự gửi ở uplink kế; node không re-request.</t>
        </is>
      </c>
    </row>
    <row r="11">
      <c r="B11" s="13" t="inlineStr">
        <is>
          <t>THÊM</t>
        </is>
      </c>
      <c r="C11" s="27" t="inlineStr">
        <is>
          <t>Nhóm H — Slot &amp; đồng bộ thời gian</t>
        </is>
      </c>
      <c r="D11" s="27" t="inlineStr">
        <is>
          <t>sync_slot, downlink 7B, broadcast biên 95→0, midnight parking, slot drift theo RTC.</t>
        </is>
      </c>
    </row>
    <row r="12">
      <c r="B12" s="13" t="inlineStr">
        <is>
          <t>THÊM</t>
        </is>
      </c>
      <c r="C12" s="27" t="inlineStr">
        <is>
          <t>Nhóm I — Baseline provisioning</t>
        </is>
      </c>
      <c r="D12" s="27" t="inlineStr">
        <is>
          <t>set_baseline schema mới/cũ, chunk 0x07, done 0x08, REQ 0x09, stale version, rearm, safety cap.</t>
        </is>
      </c>
    </row>
    <row r="13">
      <c r="B13" s="13" t="inlineStr">
        <is>
          <t>THÊM</t>
        </is>
      </c>
      <c r="C13" s="27" t="inlineStr">
        <is>
          <t>Nhóm J — Baseline gating &amp; nội suy</t>
        </is>
      </c>
      <c r="D13" s="27" t="inlineStr">
        <is>
          <t>Tolerance temp/hum/soil, presence OR, nội suy clamp/rounding, dt=0.</t>
        </is>
      </c>
    </row>
    <row r="14">
      <c r="B14" s="23" t="inlineStr">
        <is>
          <t>ĐỔI</t>
        </is>
      </c>
      <c r="C14" s="27" t="inlineStr">
        <is>
          <t>Nhóm K — HiveMQ Cloud (thay AWS IoT Core)</t>
        </is>
      </c>
      <c r="D14" s="27" t="inlineStr">
        <is>
          <t>Chuyển broker CHÍNH sang HiveMQ (user/pass TLS 8883, không cần certs partition): connect/online, data E2E, LWT, heartbeat, sync_slot+downlink 7B, baseline E2E, broker outage + reconnect, sai credential. AWS chuyển thành chế độ tùy chọn.</t>
        </is>
      </c>
    </row>
    <row r="15">
      <c r="B15" s="13" t="inlineStr">
        <is>
          <t>THÊM</t>
        </is>
      </c>
      <c r="C15" s="27" t="inlineStr">
        <is>
          <t>TC-A01/A05 — boot-sync &amp; skip khi deep-sleep wake</t>
        </is>
      </c>
      <c r="D15" s="27" t="inlineStr">
        <is>
          <t>Node cold boot xin baseline+time; wake thường bỏ qua boot-sync.</t>
        </is>
      </c>
    </row>
    <row r="16">
      <c r="B16" s="13" t="inlineStr">
        <is>
          <t>THÊM</t>
        </is>
      </c>
      <c r="C16" s="27" t="inlineStr">
        <is>
          <t>TC-E04/E05/E09/E10/E11 — timed-run, mode guard, alarm 3/4, midnight parking</t>
        </is>
      </c>
      <c r="D16" s="27" t="inlineStr">
        <is>
          <t>Hành vi node mới/được tài liệu hoá.</t>
        </is>
      </c>
    </row>
    <row r="17">
      <c r="B17" s="13" t="inlineStr">
        <is>
          <t>THÊM</t>
        </is>
      </c>
      <c r="C17" s="27" t="inlineStr">
        <is>
          <t>TC-C06/C07 — status online lại, topic baseline</t>
        </is>
      </c>
      <c r="D17" s="27" t="inlineStr">
        <is>
          <t>Bổ sung thông điệp MQTT mới.</t>
        </is>
      </c>
    </row>
    <row r="18">
      <c r="B18" s="13" t="inlineStr">
        <is>
          <t>THÊM</t>
        </is>
      </c>
      <c r="C18" s="27" t="inlineStr">
        <is>
          <t>TC-G09..G15 — negative cho protocol v2 / baseline / slot / set_mode</t>
        </is>
      </c>
      <c r="D18" s="27" t="inlineStr">
        <is>
          <t>Bảo vệ hồi quy các tính năng mới.</t>
        </is>
      </c>
    </row>
    <row r="19">
      <c r="B19" s="13" t="inlineStr">
        <is>
          <t>THÊM</t>
        </is>
      </c>
      <c r="C19" s="27" t="inlineStr">
        <is>
          <t>TC-D11 — set_schedule</t>
        </is>
      </c>
      <c r="D19" s="27" t="inlineStr">
        <is>
          <t>Trước đây thiếu test case riêng cho set_schedule.</t>
        </is>
      </c>
    </row>
    <row r="20">
      <c r="B20" s="13" t="inlineStr">
        <is>
          <t>THÊM</t>
        </is>
      </c>
      <c r="C20" s="27" t="inlineStr">
        <is>
          <t>TC-I12 — cấp baseline TUẦN TỰ từng node</t>
        </is>
      </c>
      <c r="D20" s="27" t="inlineStr">
        <is>
          <t>Gateway chỉ gửi chunk cho 1 node mỗi lượt (hàng đợi turn FIFO, tự nhả sau 120 s nếu node ngừng uplink); MAX_NODES 10 → 11 và mọi kích thước frame/buffer suy ra từ số điểm (96 điểm/series × 11 node).</t>
        </is>
      </c>
    </row>
  </sheetData>
  <mergeCells count="1">
    <mergeCell ref="B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2026-09-20T03:39:58Z</dcterms:created>
  <dcterms:modified xmlns:dcterms="http://purl.org/dc/terms/" xmlns:xsi="http://www.w3.org/2001/XMLSchema-instance" xsi:type="dcterms:W3CDTF">2026-09-20T03:39:58Z</dcterms:modified>
</cp:coreProperties>
</file>